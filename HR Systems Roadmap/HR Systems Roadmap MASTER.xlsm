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oxfordnexus.sharepoint.com/sites/HumanResources-HRSystems-RoadmapUpdates/Shared Documents/Roadmap Updates/HR Systems Roadmap Master/"/>
    </mc:Choice>
  </mc:AlternateContent>
  <xr:revisionPtr revIDLastSave="204" documentId="13_ncr:1_{CA6C7A61-CEB6-4A0F-BD8C-8962135486C8}" xr6:coauthVersionLast="47" xr6:coauthVersionMax="47" xr10:uidLastSave="{DC2ABDE9-C49D-4CD1-971E-4CA962910A57}"/>
  <bookViews>
    <workbookView xWindow="-120" yWindow="-120" windowWidth="29040" windowHeight="15720" xr2:uid="{25D28401-4CA2-45D6-888B-170A6CC863DF}"/>
  </bookViews>
  <sheets>
    <sheet name="Work Tracker" sheetId="1" r:id="rId1"/>
    <sheet name="Yearly Calendar" sheetId="3" r:id="rId2"/>
    <sheet name="Reference Data" sheetId="4" r:id="rId3"/>
    <sheet name="Completed" sheetId="2" r:id="rId4"/>
    <sheet name="Removed" sheetId="5" r:id="rId5"/>
    <sheet name="Professional Services Together" sheetId="6" r:id="rId6"/>
    <sheet name="University Priorities" sheetId="7" r:id="rId7"/>
    <sheet name="People Priorities" sheetId="8" r:id="rId8"/>
    <sheet name="IT Strategic Priorities" sheetId="9" r:id="rId9"/>
    <sheet name="IT Principles" sheetId="10" r:id="rId10"/>
  </sheets>
  <definedNames>
    <definedName name="_xlnm._FilterDatabase" localSheetId="3" hidden="1">Completed!$A$1:$AC$67</definedName>
    <definedName name="_xlnm._FilterDatabase" localSheetId="0" hidden="1">'Work Tracker'!$A$1:$AC$241</definedName>
    <definedName name="_xlnm._FilterDatabase" localSheetId="1" hidden="1">'Yearly Calendar'!$A$1:$BV$40</definedName>
    <definedName name="bus_priority">'Reference Data'!$U$2:$U$6</definedName>
    <definedName name="CATEGORY">'Reference Data'!$L$2:$L$11</definedName>
    <definedName name="DEADLINE_TYPE">'Reference Data'!$G$2:$G$6</definedName>
    <definedName name="EFFORT">'Reference Data'!$V$2:$V$6</definedName>
    <definedName name="mandate">'Reference Data'!$J$2:$J$15</definedName>
    <definedName name="P_MANDATE">'Reference Data'!$J$2:$J$15</definedName>
    <definedName name="PRIORITY">'Reference Data'!$U$2:$U$6</definedName>
    <definedName name="STATEGIC_PRIORITY">'Reference Data'!$Q$2:$Q$10</definedName>
    <definedName name="STATUS">'Reference Data'!$A$2:$A$9</definedName>
    <definedName name="STATUS_DETAIL">'Reference Data'!$D$2:$D$13</definedName>
    <definedName name="TYPE">'Reference Data'!$N$2:$N$4</definedName>
    <definedName name="YESNO">'Reference Data'!$S$2:$S$3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U16" i="5" l="1"/>
  <c r="X1" i="3" l="1"/>
  <c r="Y1" i="3" s="1"/>
  <c r="Z1" i="3" s="1"/>
  <c r="AA1" i="3" s="1"/>
  <c r="AB1" i="3" s="1"/>
  <c r="AC1" i="3" s="1"/>
  <c r="AD1" i="3" s="1"/>
  <c r="AE1" i="3" s="1"/>
  <c r="AF1" i="3" s="1"/>
  <c r="AG1" i="3" s="1"/>
  <c r="AH1" i="3" s="1"/>
  <c r="AI1" i="3" s="1"/>
  <c r="AJ1" i="3" s="1"/>
  <c r="AK1" i="3" s="1"/>
  <c r="AL1" i="3" s="1"/>
  <c r="AM1" i="3" s="1"/>
  <c r="AN1" i="3" s="1"/>
  <c r="AO1" i="3" s="1"/>
  <c r="AP1" i="3" s="1"/>
  <c r="AQ1" i="3" s="1"/>
  <c r="AR1" i="3" s="1"/>
  <c r="AS1" i="3" s="1"/>
  <c r="AT1" i="3" s="1"/>
  <c r="AU1" i="3" s="1"/>
  <c r="AV1" i="3" s="1"/>
  <c r="AW1" i="3" s="1"/>
  <c r="AX1" i="3" s="1"/>
  <c r="AY1" i="3" s="1"/>
  <c r="AZ1" i="3" s="1"/>
  <c r="BA1" i="3" s="1"/>
  <c r="BB1" i="3" s="1"/>
  <c r="BC1" i="3" s="1"/>
  <c r="BD1" i="3" s="1"/>
  <c r="BE1" i="3" s="1"/>
  <c r="BF1" i="3" s="1"/>
  <c r="BG1" i="3" s="1"/>
  <c r="BH1" i="3" s="1"/>
  <c r="BI1" i="3" s="1"/>
  <c r="BJ1" i="3" s="1"/>
  <c r="BK1" i="3" s="1"/>
  <c r="BL1" i="3" s="1"/>
  <c r="BM1" i="3" s="1"/>
  <c r="BN1" i="3" s="1"/>
  <c r="BO1" i="3" s="1"/>
  <c r="BP1" i="3" s="1"/>
  <c r="BQ1" i="3" s="1"/>
  <c r="BR1" i="3" s="1"/>
  <c r="BS1" i="3" s="1"/>
  <c r="BT1" i="3" s="1"/>
  <c r="BU1" i="3" s="1"/>
  <c r="BV1" i="3" s="1"/>
</calcChain>
</file>

<file path=xl/sharedStrings.xml><?xml version="1.0" encoding="utf-8"?>
<sst xmlns="http://schemas.openxmlformats.org/spreadsheetml/2006/main" count="6182" uniqueCount="1889">
  <si>
    <t>ID</t>
  </si>
  <si>
    <t>Activity</t>
  </si>
  <si>
    <t>Specific Deliverable / Phase</t>
  </si>
  <si>
    <t>Description</t>
  </si>
  <si>
    <t xml:space="preserve">Expected Impact / Benefit </t>
  </si>
  <si>
    <t>Primary Customer</t>
  </si>
  <si>
    <t>Lead</t>
  </si>
  <si>
    <t>Team members involved</t>
  </si>
  <si>
    <t>Mandate
(why are we doing it?)</t>
  </si>
  <si>
    <t>Category
(What will be delivered)</t>
  </si>
  <si>
    <t>Type</t>
  </si>
  <si>
    <t>Strategic Priority</t>
  </si>
  <si>
    <t>System affected</t>
  </si>
  <si>
    <t>POG item</t>
  </si>
  <si>
    <t>Key Priority</t>
  </si>
  <si>
    <t>Business Priority</t>
  </si>
  <si>
    <t>Expected Effort</t>
  </si>
  <si>
    <t>Start Date</t>
  </si>
  <si>
    <t>Date closed</t>
  </si>
  <si>
    <t>Deadline</t>
  </si>
  <si>
    <t>Original Communicated Deadline (if changed)</t>
  </si>
  <si>
    <t>Deadline type</t>
  </si>
  <si>
    <t>Progress updates</t>
  </si>
  <si>
    <t>Next steps</t>
  </si>
  <si>
    <t>Date last reviewed</t>
  </si>
  <si>
    <t>Next checkpoint date</t>
  </si>
  <si>
    <t>Status</t>
  </si>
  <si>
    <t>Status Details</t>
  </si>
  <si>
    <t>Percentage complete (estimated)</t>
  </si>
  <si>
    <t>ITS961</t>
  </si>
  <si>
    <t>Cority Implementation</t>
  </si>
  <si>
    <t>Cority Implementation Project</t>
  </si>
  <si>
    <t>Health &amp; Safety</t>
  </si>
  <si>
    <t>Chris, James</t>
  </si>
  <si>
    <t>Simon, Tonya</t>
  </si>
  <si>
    <t>Compulsory - Regulatory or Legislative</t>
  </si>
  <si>
    <t>HR Programme Project</t>
  </si>
  <si>
    <t>Funded Project</t>
  </si>
  <si>
    <t>Cority</t>
  </si>
  <si>
    <t>No</t>
  </si>
  <si>
    <t>Yes</t>
  </si>
  <si>
    <t>High</t>
  </si>
  <si>
    <t>Large</t>
  </si>
  <si>
    <t>Fixed - compulsory</t>
  </si>
  <si>
    <t>- Software went live in Dec 2024, however project is ongoing and will continue through March (potentially April) 2025. Chris and James still leading on this piece of work.</t>
  </si>
  <si>
    <t>Complete</t>
  </si>
  <si>
    <t>CA117_c_2425</t>
  </si>
  <si>
    <t>Athena SWAN and Race Equality Charter 2025 - Parental Leave data refresh</t>
  </si>
  <si>
    <t>Athena SWAN and Race Equality Charter - Parental Leave data refresh</t>
  </si>
  <si>
    <t>Athena SWAN and Race Equality Charter data refreshes</t>
  </si>
  <si>
    <t>Update the Tableau workbooks for the Athena SWAN and Race Equality Charter data with the data from the latest year-end validated figures,</t>
  </si>
  <si>
    <t>Various</t>
  </si>
  <si>
    <t>Susan</t>
  </si>
  <si>
    <t>Athena</t>
  </si>
  <si>
    <t>Discretionary - Supporting Strategic Priorities</t>
  </si>
  <si>
    <t>BAU Cyclical Activities</t>
  </si>
  <si>
    <t>BAU</t>
  </si>
  <si>
    <t>Medium</t>
  </si>
  <si>
    <t>Small</t>
  </si>
  <si>
    <t>Self imposed (fixed)</t>
  </si>
  <si>
    <t>14/0325 - Susan still working on this, the dataset is so poor so it's taking a long time.
14/02/25 - Paternity and ShPP have both been updated</t>
  </si>
  <si>
    <t>- Maternity leave still pending. Athena handed over to Susan.
- Susan has been tasked with updating by the March HRIS Bulletin.
- Susan to message Michelle to make sure we get a placeholder in the bulletin for this item this month</t>
  </si>
  <si>
    <t>Delayed</t>
  </si>
  <si>
    <t>UOX008</t>
  </si>
  <si>
    <t>Data Platform Project</t>
  </si>
  <si>
    <t>Project to deliver a cloud based data platform using Microsoft Fabric technology</t>
  </si>
  <si>
    <t>Data Strategy Implementation</t>
  </si>
  <si>
    <t>Simon</t>
  </si>
  <si>
    <t>Marie C</t>
  </si>
  <si>
    <t>Compulsory - Strategic Deliverable</t>
  </si>
  <si>
    <t>Reporting and Insight Improvements</t>
  </si>
  <si>
    <t>Digital Transformation</t>
  </si>
  <si>
    <t>SSMS / PowerBI</t>
  </si>
  <si>
    <t>In Progress</t>
  </si>
  <si>
    <t>On Target</t>
  </si>
  <si>
    <t>90_a</t>
  </si>
  <si>
    <t>Internal Mobility Dashboard</t>
  </si>
  <si>
    <t>Provide version 1 of the Internal Mobility Dashboard</t>
  </si>
  <si>
    <t>Introduce a high level dashboard to display Internal Mobility within the University.</t>
  </si>
  <si>
    <t>Deliver the reporting capability for starters movers leavers secondments etc and a dashboard showing staff movement across the University</t>
  </si>
  <si>
    <t>Renu Gupta</t>
  </si>
  <si>
    <t>Simon, MarieC, David</t>
  </si>
  <si>
    <t>Compulsory - Internal reporting</t>
  </si>
  <si>
    <t>BAU Initiative</t>
  </si>
  <si>
    <t>Fixed - discretionary</t>
  </si>
  <si>
    <t>21/02/2025 - David has completed work on stored procedures within Data Warehouse and noted improvement in performance. "Version 1" of the dashboard already exists as the version that was presented to SMT in October 2024; it is shared purely with Laura Porter and Jennifer Chapin. Work is ongoing in the Internal Mobility Working Group to determine next developments for this dashboard, however, those will be recorded separately on the roadmap as Version 2, 3, etc. 
28/11/2024 - David is actively working on transforming the APPOINTMENT_HISTORY_MASTER view into a stored procedure. There was a follow-up meeting about the Internal Mobility dashboard (within the wider context of the Internal Mobility Framework) which was scheduled with Renu Gupta for 4th December, but this has been cancelled and there are no upcoming meetings regarding the dashboard for the remainder of 2024. 
08/11/24 - Dashboard presented at People Committee (24/10) and SMT (31/10). 
11/10/24 - Athena working with Renu has produced the slide deck for people committee and made amendments to the PowerBI dashboard. Presented to SMT.
04/10/24 - Paper for People Comittee written
30/07/24 - Very positive meeting with Markos and Renu. Markos has asked that we draft a short paper (1-2 pages) about the mobility dashboards for him to take to People Committee in October. Paper draft due to Renu and Markos for their review by some point in September (need a deadline!). Paper content should give the reason why dashboard created, the benefits it is going to bring, who will have access and why and potentially future development. MarieC has noted that it should also highlight some initial key findings and planned action to be taken to investigate further, and suggested suggest that the paper should include significant input from Julie Rees and Laura Porter.  
12/07/24 - Meeting with Markos took place 5 July. Markos was happy and provided some feedback. Now finalising work around EDI characteristics and revisiting work done by David to provide clearer narrative. Another hour-long check-in with Markos and Renu at the end of this month.
04/06/2024 - Renu has confirmed that SB captured all feedback accurately, so we can resume work on the dashboards on that basis. Markos requested a one-month catch-up to review progress, so this needs to be set up
24/05/2024 - Demonstrated the dashboards to Markos; he is also very pleased to see what insights can be derived from the data. SB collated the feedback and emailed Renu to confirm that he had captured all points raised during the meeting, so that we know how to progress this piece of work. 
17/05/2024 - Demonstrated the dashboards to Renu on 16/05, she was very pleased with progress. Renu is going to send a follow-up email  with her thoughts and suggestions to be incorporated prior to meeting with Markos on 24/05/2024.  
10/05/2024 - David Johnson (resource from Data Strategy Programme) is now working on creating PBI visuals in concert with SB work in DWH and AA assigning tasks for completion. Team working together to develop Version 1 of internal mobility dashboards for sharing with Renu Gupta on 16/05, and Markos Koumaditis on 24/05. Some visuals to be incorporated into Resourcing Dashboard presentation for People Committee following review by/feedback from Renu and Markos. 
03/05/2024 - SB has created bespoke views for Internal Mobility within the DWH; AA working on creating visualisations in PowerBI to display the data within these views.
08/03/2024 - Renu has provided requirements and deadlines to SB - need to aim for end of May so that data is available for June's board. 
26/02/2024 - Handed over to BAU for completion. Renu to provide details of her and Markos' requirements</t>
  </si>
  <si>
    <t xml:space="preserve">- David has written the stored procedures and is awaiting feedback from DRAM before implementing. 
- Two views have been identified that need to be transformed into stored procedures, David has been tasked with this. 
- David linking in with DRAM to discuss stored procedures
- Test performance impact of changes and promote to LIVE server
- Repoint the PowerBI output to LIVE and set up refreshes etc
- Establish the audience
- Create / update the workspace
</t>
  </si>
  <si>
    <t>National Minimum Wage indicator - explore use of this function</t>
  </si>
  <si>
    <t>Configure and Enable the NMW indicator within the payroll module</t>
  </si>
  <si>
    <t>Exploration of the functionality available to highlight National Minimum Wage breaches in the system</t>
  </si>
  <si>
    <t>The indicator will highlight to payroll any staff who are at risk of falling below the minimum wage threshhold as soon as it occurs. This will supplement the current process of running the NMW report and will help highlight affected staff sooner</t>
  </si>
  <si>
    <t>Payroll</t>
  </si>
  <si>
    <t>Lee</t>
  </si>
  <si>
    <t>Tracy, Julie, Michelle</t>
  </si>
  <si>
    <t>Discretionary - Benefits realisation (inc POG)</t>
  </si>
  <si>
    <t>System Functionality Improvements</t>
  </si>
  <si>
    <t>Self imposed (flexible)</t>
  </si>
  <si>
    <t xml:space="preserve">03/04/25 - Deployed to live on 1st April 25
28/03/25 - Testing complete, ready to go live, business change / comms are complete.
21/03/25 - comms to users has gone out.
2/02/25 - Code verification and testing happening with Tracy.
17/01/25 - Lee has updated codes.
29/11/24 - Config made live but then rolled out due to issues found in implementation approach and config. Config updated to correct rate. 
18/09/24 - Initial testing has shown that that functionality doesn't give everything it needs to give so is only partially useful. Lee will try to understand whether it's useful enough to give live with any make any kind of improvement. 
21/06/2024 - HC confirms that Lee has made reporting available to Tracy Roberts (Payroll); Tracy reviewing to see if report is useful. HC/SB agree that making report live as-is is low-risk so probably worth doing; report can be tweaked as necessary in live.
14/06/2024 - Awaiting update.
17/05/2024 - Lee S has started configuration of the NMW indicator and raised a query with Access Group. Awaiting AG response.
10/05/2024 - Added to roadmap! Tracy Roberts feels this indicator would be very useful when considering individuals who make salary sacrifice payments that may take them below the NMW. </t>
  </si>
  <si>
    <t>CA105_a_2425</t>
  </si>
  <si>
    <t>HESA 25 Project Planning</t>
  </si>
  <si>
    <t>HESA module release, config and testing</t>
  </si>
  <si>
    <t>External Reporting/Policy/Legislation</t>
  </si>
  <si>
    <t>FA, HRA</t>
  </si>
  <si>
    <t>Compulsory - Statutory Reporting</t>
  </si>
  <si>
    <t>People Strategy Priority</t>
  </si>
  <si>
    <t>Critical</t>
  </si>
  <si>
    <t>- 08/05/2025 Data collection schedule dates confirmed: first deadline 2nd Oct.
- 02/05/2025 - Sarah updated plan with config activity. No data collection schedule has been released yet, emailed Liaison to ask for information.
04/04/2025 - Sarah started work on this in early March, still awaiting HESA submission schedule as this heavily informs all aspects of the project plan. This is normally published in late March annually, but HESA have put back the schedule publication date until early May. At present, Sarah is working on assumption of submission date of 02-OCT-2025 (or nearest working day). Testing will commence next week.</t>
  </si>
  <si>
    <t>- Simon to repoint powerBI plan at the project plan</t>
  </si>
  <si>
    <t>Create REF population datasets within Data Warehouse</t>
  </si>
  <si>
    <t>Create REF population datasets within the Data Warehouse to allow easy sharing and analysis of data with REF Divisional Project Managers as part of the REF preparation</t>
  </si>
  <si>
    <t>Creation of a dataset of research assistance and those with significant responsibility for research with relevant attributes for sharing with REF Divisional Project Managers.</t>
  </si>
  <si>
    <t>Research Services</t>
  </si>
  <si>
    <t>Nathan, David, Athena, Sarah</t>
  </si>
  <si>
    <t>Professional Services Together - Collaboration</t>
  </si>
  <si>
    <t>07/01/26 - Formal view has been created in the data warehouse.
12/12/2025 - Nathan has sent Simon his SQL for the DWHS query last week for review.
21/11/2025 - Nathan has created draft dashboard but requires for testing in QA once REF HESA UDFs have been updated with values for  2024/25
03/10/25 - Data Warehouse build is now complete. 
29/09/2025 - Nathan confirms that CONFTE can now be calculated within the REF views and the TERMS 3 population can be removed from the dataset. (Not sure what this involves!) 
05/09/2025 - Nathan confirms UDF data has been loaded into UOXU and fully tested. 
21/08/2025 - Nathan has sent UDF data to FA for loading in preparation for further testing.
15/08/25 - Permissions have been applied for members of HRA team to view/update in DWH. HESA25 UDF also updated in DWH.
07/08/2025 - Nathan reviewing progress and exploring getting new UDFs into DWHS so they can be inorporated into report.
2027/06/2025 - New Fellowship UDFs cretaed in UOXU to Nathan's spec and he is going to provide test data for loading for report testing as per Simon's suggestion.
20/06/25 - Nathan provided a summary of thought to Simon, who has reviewed and provided feedback. A request has been made to DRAM to bring in HESA UDF data (heci_user_data) into the warehouse and also have the standard UDF REFSEL split into it's own table.
01/05/2025 Nathan has been working with David to replicate cohort in DWHS and check against existing datasets.
04/04/2025 - David to do another full comparison of DWH output against Alteryx workflow and share results today; SB has been making changes in the DWH view following feedback from Nathan and David's testing. 
21/03/25 - Nathan has access to the DWH, discrepancies established and SB updated views with feedback. 
14/03/25 - Nathan has explored the discrepancies, looks like Grade may be an issue. 
28/02/25 - Nathan and David have completed first round of testing, small discrepancies between Alteryx and DWH.
21/02/2025 - David and Nathan working together to iron out logic for creating SIGRES/RESAST populations within Data Warehouse. 
29/11/24 - Placed at risk due to REF inclusion criteria not being established, Anne Mortimer has emailed regarding some changes to HESA classifications that we now need to consider.
05/07/24 - DRAM have successfully uploaded the HESA datasets into the Data Warehouse.
28/06/24 - MPST have created new network folders and AD groups to secure the HESA data. Yunli has reviewed Nathan's spreadsheets and attempted to upload into DW but has fed back that xlsx files are not easy to work with. 
07/06/24 - Nathan has pulled together 5 years of HESA data together into one spreadsheet ready to upload into data warehouse.
Simon has reached out to Svetlana and Saffron from MPST to establish how folders and AD groups can be set up to allow us to load the data and control access to it.</t>
  </si>
  <si>
    <t>- further testing against more-up-to-date data (Nathan)
-agreeing security model (ideally based on REFUOA).</t>
  </si>
  <si>
    <t>Convert Payroll Condenser tool into an Alteryx workflow</t>
  </si>
  <si>
    <t>Conversion of the existing Payroll Condenser tool (involving a very complex Excel macro) into an  Alteryx workflow</t>
  </si>
  <si>
    <t xml:space="preserve">Converting the Excel macro-based Payroll Condenser into an Alteryx workflow will greatly improve the efficiency of providing payroll data to recipients and make the 'condensing' process easier to troubleshoot and maintain.*
* The 'condensed' payroll data is provided monthly to all recipients of the Payroll Costings Report; the existing macro-based Condenser is very difficult to maintain and therefore represents a vulnerability within the HRA team's regular workload, as if the Condenser were to fail, there is no alternative for producing 'condensed' payroll data. </t>
  </si>
  <si>
    <t>HR Systems</t>
  </si>
  <si>
    <t>Sarah</t>
  </si>
  <si>
    <t>Discretionary - System development (inc POG enhancements)</t>
  </si>
  <si>
    <t xml:space="preserve">20/03/2025 - Athena has completed the Payroll Condenser.yxmd workflow in Alteryx and saved it to the Alteryx Code Library. it has been tested on four separate payroll costings reports and yields no more than 2 errors per report, mostly of 0.01 difference (potentially due to rounding issues with allocating NI/pension/AP levy). Athena has shown Ant where the Condenser workflow is located and how to use it.
28/11/2024 - work now with Athena to take forward, as the Payroll Condenser is starting to show signs of wear and tear and the need to replace it with an Alteryx workflow has become more urgent. 
14/06/24 - Will need to get an update from Athena; then properly roadmap this into our timelines.
04/06/2024 - This work will be handed over to David Johnson to take forward for the HRA team.
11/04/2024 - Sarah Rowles made significant progress with the Alteryx conversion of the Payroll Condenser, but work had to be paused to attend to higher priorities. </t>
  </si>
  <si>
    <t xml:space="preserve">- Athena to review Sarah's Alteryx workflow and compare to the VBA macros in the Payroll Condenser to see if there are any discrepancies to address. </t>
  </si>
  <si>
    <t>ITS960</t>
  </si>
  <si>
    <t>DSE Online Assessment</t>
  </si>
  <si>
    <t>DSE Online Assessment Project</t>
  </si>
  <si>
    <t>Grace, Nik</t>
  </si>
  <si>
    <t>DSE</t>
  </si>
  <si>
    <t>27/02/26 - Ralph to continue to do manual uploads until interface is live. Have provisional date of interface go live of 6th May.
13/02/26 - Do have the documentation now. Don't have timescales for when integration is going to happen.
06/02/26 - Project closed but handover still to take place
24/10/25 - System live but has a phased roll out
Completed the data check report (PERX90 DSE Data Validation - pending approval and deployment)
Grace - to take lead and support the data interface and attend meetings to provide updates.
A review meeting is scheduled for March 2025 to reassess project needs and determine next steps.</t>
  </si>
  <si>
    <t>- Interface to go live (planned 6th May)
- Marie to confirm when she's happy that the project has actually closed.</t>
  </si>
  <si>
    <t>6h</t>
  </si>
  <si>
    <t>Onboarding</t>
  </si>
  <si>
    <t>Health &amp; Safety tile to direct users to the mandatory H&amp;S training</t>
  </si>
  <si>
    <t>Users are required to complete the training before being given access to the systems. Including this in the Social Hub will help to signpost the training to new starters as soon as possible</t>
  </si>
  <si>
    <t>H&amp;S users</t>
  </si>
  <si>
    <t>H&amp;S FA</t>
  </si>
  <si>
    <t>Compulsory - System &amp; Data Governance</t>
  </si>
  <si>
    <t>Compliance &amp; Governance</t>
  </si>
  <si>
    <t>21/06/2024 - Fully released, task marked as complete.
07/06/2024 - Lee configured in UOXU, Michelle and Chris checked.
17/05/2024 - Chris Sanders has provided feedback and task is with FA for action.
10/05/2024 - Added to roadmap; Michelle has reached out to Chris Sanders for information on configuring the tile (what to include, etc)</t>
  </si>
  <si>
    <t>Equal Pay Audit</t>
  </si>
  <si>
    <t>Initial data provision</t>
  </si>
  <si>
    <t>Reward</t>
  </si>
  <si>
    <t>HRA</t>
  </si>
  <si>
    <t>Legislative, Regulatory, Statutory and Policy</t>
  </si>
  <si>
    <t>07/06/24 - SR published on 17th
17/05/2024 - SR hoping to publish initial workbook today for analysis by Reward team; will update management team when done. 
10/05/2024 - SR has published draft version of workbook following useability checks by Nathan. Currently testing Date to Grade calculations to ensure they are working as expected. 
03/05/2024 - SR has reviewed main audit and is now investigating senior pay grades. There are some issues with allowances to resolve. 
02/02/2024 - Sarah working on this, looking at misc. pens pay etc now. Creating an Alteryx workflow to improve performance in future years.
15/12/2023 - Scoping conversations have happened. Going to use July 23 snapshot.</t>
  </si>
  <si>
    <t>Health and Safety Self-Assurance pilot</t>
  </si>
  <si>
    <t>Delivering a form aimed at checking H&amp;S compliance in departments. Hoping to test the process ahead of obtaining software to support.</t>
  </si>
  <si>
    <t>Safety Office</t>
  </si>
  <si>
    <t>FA, BC (H&amp;S)</t>
  </si>
  <si>
    <t>21/06/2024 - HC confirmed pilot did go live on 20th May; most recent conversation with James S-G revealed no negative feedback or queries have been received, so this activity will be marked complete.
17/05/2024 - HC confirmed that pilot is going live on Monday 20/05/2024.
03/05/2024 - James and Chris have got the text for configuring the MS Forms questionnaire, and are working on completing config.
08/03/2024 - recommendations submitted to Nicola Selby and Pamela Flood. 
23/02/2024 - Met yesterday to discuss, have a rough scope of the work that's needed.</t>
  </si>
  <si>
    <t>Spring budget changes, including overtime payment for NHS members</t>
  </si>
  <si>
    <t xml:space="preserve">13/05/24 - Only identified two people who may be impacted. Both individuals will not be paid overtime. Linda will investigate whether any other types of payment will affect this but there doesn't seem to be any immediate need for action here.
10/05/2024 - the NI rate changes have been implemented, however, the pensionable overtime piece of work is still being investigated. Michael O'Sullivan has provided a report to Linda Howse to facilitate. Apparently only two employees at present would be affected by this change (two NHS contracts on partial retirement?) .  
15/03/2024 - 6th April effective date of NI changes. Overtime is now pensionable for PT workers who are members of the NHS pension scheme except where someone has taken partial retirement. </t>
  </si>
  <si>
    <t>6g</t>
  </si>
  <si>
    <t>Retrospective Academic Teaching Qualifications data collection exercise</t>
  </si>
  <si>
    <t>HR Staff University wide</t>
  </si>
  <si>
    <t>HRA, FA</t>
  </si>
  <si>
    <t>01/03/2024 - targeted comms to individuals sent last Friday. 
23/02/2024 - tidied up the tasks for people who already have data in the system and those who we don't need the data for.
09/02/2024 - Henry has done some work already on checking data already there</t>
  </si>
  <si>
    <t>- continue monitoring data input and enter data into system where missing.
- Need to tidy up Continuing Education casual records. Cross check against PERDEP50 to find casuals who have an email address (including personal emails) and have been paid in the last year. Those who have been paid recently will need to be targeted, those that haven't will have their tasks completed. Henry to take forward.</t>
  </si>
  <si>
    <t>6f</t>
  </si>
  <si>
    <t>Impact on data completeness monitoring</t>
  </si>
  <si>
    <t>Abillity to assess how collecting new starter details through HR Self-Service has impacted data completeness, especially for HESA purposes and diversity details.</t>
  </si>
  <si>
    <t>HRA, BC</t>
  </si>
  <si>
    <t>12/07/24 Nathan and Ant currently working on further updates. Disaggregating errors vs missing data. Adding numbers in undewr the tables. Aligning with financial quarters etc.
21/06/2024 - Nathan has produced dashboards and shared with SR/TIK for initial feedback.
14/06/2024 - Nathan and Ant met last week; Ant now pulling the data together and Nathan will then produce the graphs.
26/04/2024 - Dashboard produced, demo'd to Tonya
08/03/2024 - Nathan working with Ant on the underlying data structure to support this.</t>
  </si>
  <si>
    <t>- Ant continuing work on this in Nathan's absence.</t>
  </si>
  <si>
    <t>29b</t>
  </si>
  <si>
    <t>Diversity Dashboards</t>
  </si>
  <si>
    <t>EDI specialist version</t>
  </si>
  <si>
    <t>Greater access and visibility of University's anonymised diversity data by a wider range of audience, enabling new and improved initiatives around diversity across the University.</t>
  </si>
  <si>
    <t>EDI specialists across the University</t>
  </si>
  <si>
    <t>19/07/2024 - EDU have tested and provided feedback - Nathan made changes. 
28/06/24 - AA forwarded NK's amended terms of use to EDU team for their feedback (Laura, Jen, Sarah S-H).
21/06/2024 - Pilot running; AA really needs to contact people with terms of use text for comments!!!!
14/06/24 - Nathan collating feedback on the pilot version - part of a UAT-type of exercise.
07/06 -  Tim Soutphommasane has been added to the BIHR Leadership Tableau Group
17/05/2024 - Nathan K has resolved issues with security, making final checks of dashboards and nearly ready to share with the EDU team. Should be done by next checkpoint!
10/05/2024 - SR met with Nathan, there was a problem with the security matrix in testing phase, but this has been fixed. Nathan now drafting Terms of Use page for EDI specialist dashboards. Athena has sent terms of use to Ellie McCulloch for discussion at next BIDD group meeting, so that we can align our data strategy across the University; this may influence final form of Terms of Use but should not be a blocker to publishing the dashboards meanwhile.
03/05/2024 - Nathan nearly done with these dashboards, SR due to catch-up with him next week about progress. No meeting has as yet occurred to review terms of use document; AA to set up.
09/02/2024 - Met with James Bristow and have clarification on how to proceed with security matrix.
15/12/2023 - Departmental level data available through this version. Security matrix needs to be established, had pilot users looking at it. Likely need to confirm requirements with Marie.</t>
  </si>
  <si>
    <t>- EDU to sign off on changes Nathan has made before we publish wider. 
- 1. Awaiting feedback from EDU on ToR
- 2. Check terms of use with James Bristow @ ICT and 3. BIDD group (for consensus, not sign-off!)
- 4. Then share with Vernal &amp; Marie for their approval</t>
  </si>
  <si>
    <t>58c</t>
  </si>
  <si>
    <t>OSPS Pension Changes</t>
  </si>
  <si>
    <t>April 24 tier rate changes</t>
  </si>
  <si>
    <t>OSPS Pensions are altering their tier rates from April 2024</t>
  </si>
  <si>
    <t>Payroll &amp; Pensions Team</t>
  </si>
  <si>
    <t>FA, Payroll</t>
  </si>
  <si>
    <t>24/08 - April 24 changes to tiers. Waiting for final confirmation of requirements from Pensions</t>
  </si>
  <si>
    <t>- Been tested, needs to go into production at March payroll no user input dates</t>
  </si>
  <si>
    <t>64a</t>
  </si>
  <si>
    <t>HESA Process Review</t>
  </si>
  <si>
    <t>Review of validation reports</t>
  </si>
  <si>
    <t>Time and efficiency savings when delivering staff HESA return. Increased accuracy in data. Downstream benefits for REF and other regulatory and internal returns.</t>
  </si>
  <si>
    <t>HRA, FA, BC</t>
  </si>
  <si>
    <t>Discretionary - Service/Support Improvement</t>
  </si>
  <si>
    <t xml:space="preserve">08/03/24 - Error message for Academic Teaching Qualifications has been added on 1st March. 
13/12/23 - Kick off meeting with Focus. Still need to finish the impact resource grid work and prioritise deliverables. </t>
  </si>
  <si>
    <t>- Comms needs to go into bulletin - Marie to discuss with Tonya.</t>
  </si>
  <si>
    <t>Oxford Living Wage increase</t>
  </si>
  <si>
    <t>Implementation of agreed workaround to falling below Oxford Living Wage</t>
  </si>
  <si>
    <t>Reward Team</t>
  </si>
  <si>
    <t>HRA, FA, BC, Reward, Payroll</t>
  </si>
  <si>
    <t>15/03/24 - Rates put into UOXZ yesterday. 
08/03/24 - Marie has needed to clarify some things with Reward Team, will not progress until next week now. 
29/02/24 - Planning meeting held 29/02/24.
12/01/24 - decision with Markos and Sarah whether we implement in February or April payroll. A deadline of 12.1 was given to Jess to implement in February.
06/12 - approval received to implement. Awaiting details of what implementation looks like. 
? - Approach being outlined by Jess to Sarah Kilgour and Markos. Details yet to be confirmed.</t>
  </si>
  <si>
    <t>- Tracy to test in UOXZ before promoting to Live.</t>
  </si>
  <si>
    <t>April 2024 NHS Pension Changes</t>
  </si>
  <si>
    <t>NHS Pensions are updates rates and/or altering their tier structure from April 2024.</t>
  </si>
  <si>
    <t>08/03/24 - Michael has put the new tiers into UOXZ and has carried out some functional testing, all looks positive so far.
06/12/23 - received a heads up from Tracy that there will likely be NHS pension changes in April - likely to be more than rate changes.</t>
  </si>
  <si>
    <t xml:space="preserve">- Tracy to carry out further testing. Michael to follow up with Linda Howse when she returns from leave.
</t>
  </si>
  <si>
    <t>A-Z for HR Systems guidance added to website – to be published this month</t>
  </si>
  <si>
    <t>BC</t>
  </si>
  <si>
    <t>Service and Support Improvements</t>
  </si>
  <si>
    <t>23/02/24 - A-Z published and communicated</t>
  </si>
  <si>
    <t>- Michelle to publish on the website</t>
  </si>
  <si>
    <t>EJRA dashboard rebuild</t>
  </si>
  <si>
    <t>Rebuild of the EJRA dashboards to support the 10 year review of EJRA being undertaken by the Policy team. The current dashboard is poorly built and refreshing the data is difficult, it should have been built more flexibly so a rebuild is required to allow easy refreshing of data. The data is required now in order to support a number of anticipated employment tribunal cases.</t>
  </si>
  <si>
    <t>HR Policy</t>
  </si>
  <si>
    <t>15/03/24 - PowerBI discounted for now, Tableau will be used due to restricted deadlines.
04/03/24 - Athena has picked up this piece of work from Sarah, building in PowerBI was discussed and will be assessed as part of this work.</t>
  </si>
  <si>
    <t>Formalising financial statements processes for Auditors</t>
  </si>
  <si>
    <t xml:space="preserve">Create clear documentation of the processes used to calculate the pay ratios and 'high earners' population for the annual financial statements. This documentation can then be passed to external auditors to enable them to understand how payroll data is analysed and transformed during the process, which will improve the annual audit experience by reducing uncertainty. </t>
  </si>
  <si>
    <t>Finance</t>
  </si>
  <si>
    <t>17/05/2024 - AA has finished the documentation and shared with Finance, Deloitte, and Reward
03/05/2024 SR has created a process flow infographic and demonstrated this at meeting with Finance and the auditors (Deloitte); AA nearly finished with the process overview document - pending inclusion of new steps for calculating high-earners bandings throughout financial year.</t>
  </si>
  <si>
    <t>Review the data definitions within Casewise/HR Business Glossary</t>
  </si>
  <si>
    <t>Review the HR data definitions within Casewise for DGG</t>
  </si>
  <si>
    <t>DGG putting together a business data glossary for the University. This is moving out of casewise.
HRS need to review the existing data here \\connect.ox.ac.uk\ADMN\PS\Workforce Information Team\Data governance and data definitions\Data Definitions\Copy of HR Business Glossry.xlsx</t>
  </si>
  <si>
    <t>DGG</t>
  </si>
  <si>
    <t>Sarah, Athena</t>
  </si>
  <si>
    <t>28/03/25 - working group has convened to pick this work up, this task has therefore transferred into the remit of the Data Strategy Implementation Programme. We're treating this as completed from our point of view.
21/02/2025 - Ayo has sent AA a link to a new SharePoint file (replacing the old glossary file), he's asked AA to place all confirmed definitions in the new file rather than sending to him via email. (He has also already added all previously-confirmed HR definitions to the file.) AA has also signed up to be part of DSIP working group for Business Glossary. 
14/02/25 - Woo has occurred. HR have contrbuted the most so far.
23/1/2025 - confirmed definitions list sent to Ayo
10/01/2025 - Athena sent initial draft definitions to Ayo for review. 
22/11/24 - Overlap with Digital Strategy Implementation/Improvements Programme (DSIP), PFST, Identity and Access Management, Collegiate EDI data, CRM projects.</t>
  </si>
  <si>
    <t xml:space="preserve">- AA to consolidate outstanding definitions and book a Wednesday training session to discuss as a team.  
- Athena to review current state, potentially use a team meeting to discuss outstanding definitions. 
- 77 items to review for PeopleXD. Placed into Teams, members of HRA to be assigned to review. </t>
  </si>
  <si>
    <t>P&amp;C_3</t>
  </si>
  <si>
    <t>Implementation of Pay &amp; Conditions Review</t>
  </si>
  <si>
    <t>Phase 3 - clear up of reporting</t>
  </si>
  <si>
    <t>Tidy up of HRA reports and Data Warehouse as a result of implentation of researcher grades. Includes the consideration of grade groupings as a result of the researcher grades.</t>
  </si>
  <si>
    <t>Inclusion of researcher grades in the researcher grade groupings in reports and DW etc, moving them out of grade 6+ group. This will enable clearer reporting on research staff.</t>
  </si>
  <si>
    <t>Susan, David</t>
  </si>
  <si>
    <t>Professional Services Together - Quality</t>
  </si>
  <si>
    <t xml:space="preserve">29/01/2025 - All HRINFO reports have been updated with new RS grades, including calculations for Grade Groups/Standard Grade Equivalents. Athena has tasked Susan with reviewing Alteryx workflows for any hard-coded calculations, but this is assumed to be a very low risk, as groupings are normally pulled in via a Lookup file, which has already been updated with the RS grades.
13/12/24 - HRA team have reviewed the SQL scripts and suggested changes. Payscale lookup in DWH has been updated. Sarah has reviewed proposed grade groupings.
28/11/2024 - HRA team have reviewed all HRINFO reports and identified where the new RS grades need to be added to conditions/calculations where Grade valeus are hard-coded into the query. AA has identified which HRINFO reports need to be updated to add the new TSSTMP post to any conditions which restrict the dataset based on post number. </t>
  </si>
  <si>
    <t>- HRINFO01 research grade check to be added using PERDEP90 code and communicated to departments.
- Other views in the data warehouse to be reviewed to ensure RS grades and the TSSTMP post are accounted for in conditions and calculations where post numbers or grades are hard-coded.</t>
  </si>
  <si>
    <t xml:space="preserve">Additional Paternity Leave </t>
  </si>
  <si>
    <t>System configuration required to support the new OUAPPL (Oxford University Additional Paternity/Partner Leave) policy.</t>
  </si>
  <si>
    <t>Provide a way of HR teams administering the new policy to allow for reporting on the take up and success of the new policy over the coming 12 months.</t>
  </si>
  <si>
    <t>Kate Butler</t>
  </si>
  <si>
    <t>Kevin / Simon</t>
  </si>
  <si>
    <t>Tonya / Michael / Nik</t>
  </si>
  <si>
    <t>10/01/2025 - New paternity leave codes have been added to PXD, Nik Sharkey has liaised with Athena to rewrite HRINFO18 Paternity Leave within a Date Range to include the new codes, and extend period of max pat leave to 12 weeks. 
11/12/24 - Meeting held with Kate Butler today where she outlined the need to be able to record the new policy in the system. Agreed that ideally a new action and reason code would be created, titled OUAPPL and OUAPPL end, but there are existing action and reason codes in the system which we need to either hide or repurpose to avoid confusion. ~Simon has checked with Sarah and Athena that the proposed process would work for reporting, which it will.</t>
  </si>
  <si>
    <t>- All set to go. Deadline extended to line up with communications</t>
  </si>
  <si>
    <t>28_a</t>
  </si>
  <si>
    <t>Training Guides &amp; Material Review &amp; Backlog cleardown</t>
  </si>
  <si>
    <t>Migration of guidance into web format and review of existing guides for accuracy</t>
  </si>
  <si>
    <t>Migration of user guidance from PDFs into web format and review of existing guides for accuracy</t>
  </si>
  <si>
    <t>Accurate guidance resulting in accurate use of system, improving data quality.
Improved user experience.</t>
  </si>
  <si>
    <t>PeopleXD users</t>
  </si>
  <si>
    <t>Michelle</t>
  </si>
  <si>
    <t>Julie</t>
  </si>
  <si>
    <t>29/11/24 - Julie provided an update at the team meeting on how many items are left to go, Julie has been set a deadline for the end of the year for this work to be completed.</t>
  </si>
  <si>
    <t>- MarieC to check in with Julie to see how much progress has been made clearing backlog</t>
  </si>
  <si>
    <t>At risk</t>
  </si>
  <si>
    <t>CA117</t>
  </si>
  <si>
    <t>Athena SWAN and Race Equality Charter data refreshes 2023/24</t>
  </si>
  <si>
    <t>Susan, Marie K</t>
  </si>
  <si>
    <t>10/01/2025 - AS Institutional REfresh is complete, however still awaiting Humanities data for ROD outcomes 2024 before final AS refresh of dept dataset can be done. 
17/12/24 - Susan has provided Marilyn Verghis (Race Equality Advisor and interim Head of EDU) with the up-to-date datasets for the REC for 2022/23 and 2023/24. AA took the decision not to update the REC Tableau workbook, as the workbook was not used for the previous REC submission (it was ignored in favour of creating pivot charts using the underlying dataset). 
13/12/24 - Susan has refreshed Athena Swan datasets 
28/11/2024 - Susan has been tasked with creating the update files for 2022/23 and 2023/24 SIP and Recruitment data for the REC dashboards. She will commence work next week. The Athena SWAN dashboards still need updating with the turnover and Recognition of Distinction ("RoD") data for 2023/24. Both Athena SWAN and REC will need refreshing with up-to-date parental leave data, however this is typically done in late January/early February.
05/11/2024 - The Athena SWAN staff dataset has been updated to include staff data for the 2023/24 academic year. Processing of the Athena SWAN recruitment dataset is currently underway, led by Marie King. The Race Equality Charter has not been refreshed, and will need to be built into the existing Alteryx workflows to produce the necessary dataset for 2023/24</t>
  </si>
  <si>
    <t>- Susan has chased divisions for the full list of Successful/Unsuccesful ROD candidates for 2024, so that she can update the Athena SWAN workbook with this dataset.</t>
  </si>
  <si>
    <t>Staffing Figures People Committee Paper</t>
  </si>
  <si>
    <t>Drafting paper and annexes</t>
  </si>
  <si>
    <t xml:space="preserve">Review changes since last year, refresh and/or add new charts and narrative depending on changes/trends in staff data
Refresh of Annexes
</t>
  </si>
  <si>
    <t>People Committee</t>
  </si>
  <si>
    <t>Sarah - drafting paper
Susan - updating annexes</t>
  </si>
  <si>
    <t xml:space="preserve">Simon, MarieC,
</t>
  </si>
  <si>
    <t>10/01/2025 - Sarah working through comments on draft paper and incorporating feedback. Note that, for depatments whose data has been queried and who have not yet responded , the figures will simply be quoted as-is in the paper (tracking comments will remain within the paper so that these figures can be updated later with information, should depts respond within the next fortnight). 
3/1/2025 - Sarah has completed initial updates to paper (for employees), Susan is working on refresh of annexes.
28/11/2024 - Sarah has started updating Tableau views for the paper and is investigating what can be done with regard to the inclusion of casuals in the statistics for the paper, as per email received from Joint Committee. Sarah is on leave until 9th December, and is planning on completing this on her return.</t>
  </si>
  <si>
    <t>- Paper to go to Renu by COP 10th Jan 
- Sarah working on validating data for casual workers for inclusion in paper (not annexes) and then will move to drafting actual paper content
- Susan working on refresh of annexes</t>
  </si>
  <si>
    <t>70_a</t>
  </si>
  <si>
    <t>Enhanced Payroll Filtering</t>
  </si>
  <si>
    <t>Phase 1: Initial delivery of the functionality and adoption into reports</t>
  </si>
  <si>
    <t>Introduction of new functionality with Payroll module to allow in system filtering of areas of responsibility for payroll officers</t>
  </si>
  <si>
    <t>Early engagement on an enhancement we requested years ago which may allow us to use more in system functionality</t>
  </si>
  <si>
    <t>Nik</t>
  </si>
  <si>
    <t>Michael</t>
  </si>
  <si>
    <t>PeopleXD</t>
  </si>
  <si>
    <t>20/06/25 - Nik has provided an update on the status. The functionality is live but only lightly used. There will be a phase 2 where the functionality is fully assessed and hopefully more widely adopted.
28/05/25 - this functionality has been deployed to live now with updates made to the payroll reports which mean that there will be no need to update individual reports - all updates can just be made within the payroll filters. Tracy and Nik are exploring further uses of the functionality.
25/04/25 - Waiting for a response from Tracy's testing
16/04/25 - 14 reports have been created and deployed into UOXU. The Tracy, the Payroll Manager, has been notified and ask if these reports can be tested 
04/04/2025 - Functionality ready to go live, go-live date set at 11th April. 
28/02/25 - Got a report on UOXZ PAYMGR20 Allocances has been updated. Tested and all expected.
14/02/25 - Nik provided a draft report of the issues to SB, SB provided feedback. 
31/01/25 - Tracy has confirmed that she doesn't think this will work for her team. Nik has been tasked with pulling together of the issues so we can feed back to Access Group. 
29/11/24 - Michael did confirm that the blocker has been resolved. Passed over to Nik.
15/11/24 - this was blocked because of this issue: "Codes all look the same when configuring Payroll Enhanced Payroll Filtering. Need to raise a question with AG on whether we can get the Codes to show in the config at all". AG have updated the functionality and provided user guidance, the blocker seems to be resolved so I've reached out to Michael to confirm.
21/06/2024 - Basic configuration is complete (for proof of concept) and has been handed to Tracy for her comments. More config may be required based on Tracy's feedback.
10/05/2024 - MOS has started config but is busy with staff request work so not much progress to report.
03/05/2024 - we were relying on Tracy Roberts to review this, but FA to take forward basic config, given that a new list of Payroll Officers has just been sent out. Once basic config has been done, Tracy R to review and advise on her thoughts. 
12/01/2024 - Initial meeting with Rob Gimes on 17th January to assess the software.
28/11/2023 - reached out to AG to request the functionality be set up in UOXZ</t>
  </si>
  <si>
    <t>- Kevin and Nik to gather details of where the functionality gap is for payroll to utilise this functionality. 
- Nik to ensure guidance for making updates to payroll officers is documented and knowledge is transferred to the rest of the FA team.</t>
  </si>
  <si>
    <t>HESA Staff Major Record Consultation</t>
  </si>
  <si>
    <t>Coordinate an institutional response</t>
  </si>
  <si>
    <t>HESA Statistical Consultation contains wide ranging changes to the scope and content of the staff return.</t>
  </si>
  <si>
    <t>University of Oxford's view will be represented in the major record review consultation</t>
  </si>
  <si>
    <t>Nathan
Simon</t>
  </si>
  <si>
    <t>Professional Services Together - People</t>
  </si>
  <si>
    <t>04/04/2025 - Done and submitted as of 2nd April 2025.
14/03/25 - Sarah completed the draft return. Passed to Marie to review.
07/03/25 - Sarah met with Saranga and forward email to Sarah K. Had dept feedback from 4 departments. Sarah also attended session in London.
28/02/25 - Recevied feedback from Divisions. Meeting Saranga this afternoon to discuss SOC codes. Completed all but 2 burden assessments.
21/02/2025 - Sarah has had responses from Div Registrars, some more detailed than others. Sarah and MarieC have met with Simon Virr from Cambridge to discuss the challenges the consultation poses to our institutions, and to align the questions/challenges Oxbridge want to pose to HESA in response to their proposals.  MarieC has emailed Markos today to get his steer on who is responsible for signing off on the institutional response to the consultation; awaiting feedback. 
14/02 - Sarah reached out to Div Registrars and others. Met with Marie and Renu - presentation to go to Markos
31/1/2025 emails to stakeholders drafted for review, questionnaire and burden assessments converted to excel. Investigations into impact on HRS started.
16/1/2025 - Consultation released by HESA/Jisc, offline copied requested and recieved. Shared with AnneM.
25/7/2024 SR attended second workshop - main topic of discussion was issue with collection/distribution of HESA IDs to better enable tracking of careers through the sector. Also discussion of potential for making professional and suport staff mandatory (again) - no ipact on UOx as we never stopped but an increasing number of others have.
12/07/24 HESA and JISC undertaking major review user engagement activities. SR went to one on 8th July and just signed up to a session on 25th - which will be on staff mobility - "Tracking careers of staff". Collecting ideas for Qs and topics for the next round of consultation.
23/02/2024 - Released the results of first consultation - second due in April / May
HESA have launched major review, consultation Aug - Sep this year, April - May 24. HESA aim to make the changes ready for 25/26, 23/24 we'd ideally have notice of the changes. Will clash with REF deadlines.</t>
  </si>
  <si>
    <t>- Marie to establish who is going to sign the return off. 
- Going to Renu today, Renu to discuss who's signing off with Markos.</t>
  </si>
  <si>
    <t>22_c</t>
  </si>
  <si>
    <t>Security Model Review</t>
  </si>
  <si>
    <t>Establish roadmap of activities and implementation plan to widen security access for dept'l users to help improve accuracy of system usage.</t>
  </si>
  <si>
    <t>Establish roadmap of activities and implementation plan to widen security access for deptmental users to help improve accuracy of system usage.</t>
  </si>
  <si>
    <t>Enhanced accuracy in system usage, reducing errors caused by the current lack of visibility across departments.
Help minimise mistakes when processing starters, leavers, and other processes that require knowledge of an individual's active records in different areas of the University.</t>
  </si>
  <si>
    <t>Tonya</t>
  </si>
  <si>
    <t>Simon, Asta</t>
  </si>
  <si>
    <t>Data Quality Initiatives</t>
  </si>
  <si>
    <t>No deadline set</t>
  </si>
  <si>
    <t>With MC for sign-off</t>
  </si>
  <si>
    <t>Establish detailed plan for first phase of the delivery</t>
  </si>
  <si>
    <t>On Hold</t>
  </si>
  <si>
    <t>On Hold - Waiting for strategic decision</t>
  </si>
  <si>
    <t>23_c</t>
  </si>
  <si>
    <t>Security Reporting &amp; Process Review</t>
  </si>
  <si>
    <t>Mailing list reports</t>
  </si>
  <si>
    <t xml:space="preserve">Create security reports to be used for mailing list purposes by HR Systems team. </t>
  </si>
  <si>
    <t>12/07/24 - Not a priority - will need to be reviewed again in the near future to see if can be roadmapped at that stage.
12/01/2024 - can we roadmap this? Perhaps utilise the work that Athena has done? 
Which report do we use at the moment? I have a note somewhere! Need to update this from looking at back office access to portal access.</t>
  </si>
  <si>
    <t>On Hold - Work Deprioritised</t>
  </si>
  <si>
    <t>Retire TOL375 grade</t>
  </si>
  <si>
    <t>Removal of an unused grade, simplify processes for staff requests etc.</t>
  </si>
  <si>
    <t>SBS</t>
  </si>
  <si>
    <t>Discretionary - Support local initiatives</t>
  </si>
  <si>
    <t>Low</t>
  </si>
  <si>
    <t>Extra Small (Quick Win)</t>
  </si>
  <si>
    <t>12/01/2024 - Grace has now left, we were waiting on SBS to move people off the grade so we can retire the grade.
21/06/2023 - TIK: Grace will inform us once they know when they’ll move all the people over to another grade.
Requirement from SBS</t>
  </si>
  <si>
    <t>On Hold - Waiting for internal team</t>
  </si>
  <si>
    <t>Develop PowerBI Dashboard version of Multi-Years Staffing Figures and Turnover Tableau workbook</t>
  </si>
  <si>
    <t>Replace existing Tableau provision "Multi-Years Staffing Figures dataset for reporting" with a PowerBI dashboard to allow HR Systems team users and Reward team users to self-serve information.</t>
  </si>
  <si>
    <t>Migration of heavily-used dataset from Tableau into PowerBI, will allow Tableua workbook to be retired and users of the dataset to self-serve data more easily than at present</t>
  </si>
  <si>
    <t>- Agreed that this dashboard is replaced by the workforce profile dashboard and won't be delviered
- Putting on hold until the roadmap for dashboards is established.
- Susan has published the dashboard to the HR Systems - Internal Data workspace and shared with Michelle Williams to gain some initial user feedback before consideration of making the dashboard 'live' for the Reward team's use.
- Susan repointed at Silver and carried out some further development
- Susan's PBIX refreshed with 2024 data, needs to have People Dept branding applied and a user guidance tab added to front of workbook
- SIP / Turnover tables updated in DWH. 
- Dashboard developed</t>
  </si>
  <si>
    <t>Not Delivered</t>
  </si>
  <si>
    <t>Amend automated emails to leavers</t>
  </si>
  <si>
    <t>Improved process for employees wishing to contact the pensions team</t>
  </si>
  <si>
    <t>Pensions Team</t>
  </si>
  <si>
    <t>Tonya, Jenni Bromfield</t>
  </si>
  <si>
    <t xml:space="preserve">23/02/2024 - Simon has confirmed with Jenni that the pensions team will create a webpage and we will link to it.
12/01/2024 - SB to raise with new head of payroll and pensions in meeting next week. 
17/08/2023 - this is with SB to ask Charlie if Payroll/Pensions can include full information on a website that we can link to and a brief summary for the email. Charlie is on leave this week, will try to pick up next week. Hopefully we'll be able to get this sorted by the end of next month.
23/06/2023 - Tonya to reduce character limit on suggested text.
Based on pensions feedback. </t>
  </si>
  <si>
    <t>- Jenni to discuss with Pensions team and get in touch with us when the webpage has been built</t>
  </si>
  <si>
    <t>68_b</t>
  </si>
  <si>
    <t xml:space="preserve">New Apprenticeship application form </t>
  </si>
  <si>
    <t>Long term new application form with drop down options and links to apprenticeships website</t>
  </si>
  <si>
    <t>Set up of a new application form for apprentices to meet the full needs of the team / process</t>
  </si>
  <si>
    <t>Apprenticeships team</t>
  </si>
  <si>
    <t>09/02/2024 - waiting for feedback on the current round of recruitment before we proceed.
24/11/2023 - initial meeting with UAS HR / apprenticeships team to discuss requirements, agreed that we would investigate what we could do to get them up and running for their current project due to kick off in two weeks time, but also investigate further development of a full application form, possibly using volcanic, that did exactly what they needed,</t>
  </si>
  <si>
    <t>Kick off promotional campaign to promote importance of EDI data and improvement in Data Quality</t>
  </si>
  <si>
    <t>EDU, HRA, Employees</t>
  </si>
  <si>
    <t>MarieC</t>
  </si>
  <si>
    <t>MarieK, Simon, Tonya, Sarah</t>
  </si>
  <si>
    <t>10/05/2024 - TIK has shared information with Laura Jones in EDU about ways in which campaigns for EDI data/overall DQ could be improved; however this is currently sat with Marie C for further action.</t>
  </si>
  <si>
    <t>POG membership and remit refresh</t>
  </si>
  <si>
    <t>Refresh Terms of Reference and approach to managing POGs. Refresh membership and establish a better route to ensuring member turnover in a healthy way.</t>
  </si>
  <si>
    <t>Improved processes around the management and running of POGs.
Better clarity for members on expected involvement and their responsibility as a POG member.</t>
  </si>
  <si>
    <t>21/06/2024 - MW has committed to complete review by end of June
09/02/2024 - Membership has been reviewed, got 6 new members.</t>
  </si>
  <si>
    <t>- Michelle (with Tonya's support) to re-write the POG remit/terms of reference to widen remit.</t>
  </si>
  <si>
    <t>86_a</t>
  </si>
  <si>
    <t>Management Insight Dashboards</t>
  </si>
  <si>
    <t>Migrate Resourcing Dashboard from Tableau to PBI to make use of Data Warehousing capabilities</t>
  </si>
  <si>
    <t>Migration of resourcing dashboard from Tableau into Data Warehouse and PowerBI</t>
  </si>
  <si>
    <t>Ability to join the Resourcing Dashboard's metrics on recruitment and turnover with the new internal mobility data to provide an end-to-end picture of movement into, within, and out of the University, to assist the Director of Talent and Director of HR in decision-making.</t>
  </si>
  <si>
    <t>SMT</t>
  </si>
  <si>
    <t>Athena, Simon, David</t>
  </si>
  <si>
    <t>04/06/2024 - Added to roadmap to ensure we do not lose sight of this piece of work. The migration from Tableau to PowerBI may be rather difficult as the Tableau workbook is fed by Alteryx workflows, which in turn look at reports on recruitment data and the Access database for consolidated turnover figures. SB/AA will need to discuss with Susan Pratt to determine best ways to replicate functionality of Resourcing Dashboard in PBI, and preferably through the use of the data warehouse.</t>
  </si>
  <si>
    <t xml:space="preserve">Staff Request/post creation process redesign </t>
  </si>
  <si>
    <t>Reduce the number of staff requests processed by the Reward Team
Reduce turnaround time for departments waiting for new vacancies, posts and planned appointments, potential to open the door for tighter establishment control in departments
Enable departments to set up own posts without SR creation/Reward involvement</t>
  </si>
  <si>
    <t>Reward Team &amp; Departmental HR &amp; Finance</t>
  </si>
  <si>
    <t>Michael
Athena</t>
  </si>
  <si>
    <t>Current iteration - Michelle
Previously - Simon, Tonya, Jess Oldershaw, Phil Taylor</t>
  </si>
  <si>
    <t>Extra Large</t>
  </si>
  <si>
    <t xml:space="preserve">25/07/25 - David has completed v1 of the new dashboards, with Aga to review.
18/07/25 - SB created all the views (hopefully) that are needed in DWH
27/06/25 - David has establish requirements for dashboard improvements
29/05/2025 - Michael and Michelle met with Aga on 21st May. Updated guidance is now in place for standardised JDs, process changes, and resources for managers/HR. Michael's testing has gone well and he has set up the whole Reward team with access to UOXU to perform UAT. Michelle is working with Aga on a comms plan - the new process is due to be launched on 23-JUL-2025.  Reporting requirements still outstanding, for Athena to liaise with Aga to discuss and agree next steps. 
08/4/2025 - Meeting held and next steps meeting arranged; Discussion of issues with current reporting provison and type improvements required to grading services dashboard, implementation of functionality in PXD deadline discussed towards end July. 
04/04/2025 - Aga is setting up a working group to cover all the potential impacts of this process change. Athena and Sarah have been invited, as well as Michelle. 
21/03/25 - Marie spoke to Michelle and asked to work on a comms plan with Aga.
06/09/24 - Unable to progress at present - will need to link in with Volcanic - Reward also need to define and work on reporting requirements. 
28/06/24 - SB has developed data warehouse updates required, but hasn't made these live yet.  Testing basically complete on the functionality - reports have been identified to be amended, one option is to enhance dashboards in PowerBI and decomission PERCTR01 and 02. Also dependancy for volcanic going live on this being in place. 
07/06 - SB has reviewed impact on reporting and data warehouse. New code has been started.
17/05/2024 - SB/HC met with Michael; MOS has provided update to Jess O and Phil T about progress to keep them informed.
10/05/2024 - Simon and Helen to meet with MOS today to check in on testing progress. 
03/05/2024 - AG working to resolve issues, HC confirms system currently working as expected and final testing in progress at present. MOS waiting for AG to confirm whether a default value can be set for the 'Positions Required' field when creating staff requests. 
13/03/2024 - MOS has completed config and initial testing but has three issues. The second level of approval is not kicking in, new posts are being created irrespective of whether the SR was based on existing post or not and vacancies and planned appointments are not being created at all. Request raised with AG for consultancy time.
01/03/2024 - MOS has set up process in test environment but hasn't completed config / testing.
11/10/2023 - Phil Taylor may have a resources which can help with this. We think it may take 3 months to implement this with someone working 20 hours a week on it with our support, but with WFM and Onboarding being risks.
17/08/2023 - Kick off meeting on 6th September, likely to be a large piece of work with a lot of testing. </t>
  </si>
  <si>
    <t>- Michael is due to configure the new SR process and workflow on Monday.
- David to continue to work on updating the dashboards
- Michelle to update on comms plan.</t>
  </si>
  <si>
    <t>CA123</t>
  </si>
  <si>
    <t>Medical Schools Council Survey</t>
  </si>
  <si>
    <t>Marie K</t>
  </si>
  <si>
    <t>- waiting for MSD office to sign-off survey so it can be submitted or changes made and then submitted
- extension negotiated after MSD signed DSA.
- On hold - Medical Sciences haven't signed data sharing agreement, which hasn't been done despite chases to Divisional Office.</t>
  </si>
  <si>
    <t>Fixed Term End Date Reminders</t>
  </si>
  <si>
    <t>iCue reminder for FTC end dates</t>
  </si>
  <si>
    <t xml:space="preserve">Introduce automated reminder notifications to managers via PeopleXD of upcoming Fixed Term End Dates </t>
  </si>
  <si>
    <t>Raise better awareness of FTC processes/procedures/support resources for managers
Complement initiatives being undertaken under the Research Concordat</t>
  </si>
  <si>
    <t>People Management POG</t>
  </si>
  <si>
    <t>Michelle, Tonya, Simon</t>
  </si>
  <si>
    <t>07/03/25 - Placed on hold due to size of business change activity and capacity within the team.
31/01/25 - Survey closed and 72% voted for FTC notifications/iCue to be switch on (103 responses)
29/11/24 - Lee sent out an update on his testing. 
22/11/24 - Lee completed scenario testing and is confirming lessons learned.
08/11/24 - Next steps planning meeting took place, lots of flexibility around how this cane be rolled out. Lee has tested the fix that Access Group put in for the notification email issue.
08/08/24 - Further investigation req'd re confuguration options - investigate issues raised by NDM. Delay rollout to early 2025 to align with WFM project and ensure work group data is up to date.
05/07/24 - Michelle drafted an email will be sent to POGs. 
21/06/2024 - TIK has received feedback and advice from Policy team.HC update - the emails aren't generating correctly (the report and  iCues are working, however). Lee Strudwick has raised with Access Group to investigate. 
14/06/2024 - Identified that reminders cannot go to HR as those with Uni-wide access would get reminders for all staff. Email reminder text with HR Policy team for review/input. Frequency of reminders will be monthlyand likely now will just be sent for this with 6-9 months left on contract.
17/05/2024 - plan has been reviewed and MW has been working through actions listed by FA/BC teams. TIK/MW have added a few extra actions, and have drafted communication text for sharing with Policy &amp; POGs. Frequency of comms still needs to be confirmed; HC has flagged concerns about monthly notifications due to volume involved, as this may interfere with the functionality of iCues. MW raised a question about what gets sent to individuals who have 'whole University' access - apparently they would get emails containing a list of all FTCs across the University and directing them to take action. TIK has pointed out this may be a blocker to implementation; therefore notifications should be restricted to only managers, to prevent unnecessary 'noise' in people's inboxes. 
27/03/2024 - POG feedback inconclusive. 
18/01/2024 - Question with POGs which audience should these go to?
15/12/2023 - Demo'd to the POG, need to establish next steps. Demo to POGs 5th December. Michelle and Helen to plan. POG item - part of wider desire for 'triggered by' the system notifications</t>
  </si>
  <si>
    <t xml:space="preserve">- Kevin and Michelle to discuss whether discussed at next People POG on 18th March
- Michelle to respond to Lee's email
- Michelle to discuss with policy team
- Also need to link in with Pay &amp; Conditions / Julie Rees on their FTC tasks
- Michelle developing a detailed plan for next steps. Meet with Research Services and Policy to be set up.
- Tonya/Michelle to then meet with and summarise options to NDM
</t>
  </si>
  <si>
    <t>Complimentary HR courses for future PXD users</t>
  </si>
  <si>
    <t>Introduce a new online course as a pre-requisite to PeopleXD training to ensure alignment in knowledge of HR at the University</t>
  </si>
  <si>
    <t>Enhanced understanding of University HR practices, ensuring consistent knowledge across all new starters.
Improved data quality and more accurate system usage, leading to a gradual reduction in user support queries over time.</t>
  </si>
  <si>
    <t>12/07/24 - Julie developing the eLearner - aiming to have it ready by end of August.
28/06 - Meeting with Julie Rees went ahead. 
21/06/2024 - Miscommunication between HR Sys and POD. Plans temporarily on hold while this is sorted. 
14/06/2024 - Julie collated feedback - likely approach for delivery method identified (eLearner with quiz). Julie has shared the course and plans for delivery with Renu.
07/06/2024 - All feedback received, Julie collating.
17/05/2024 - lots of feedback from POGs so far; Julie H to collate for further review. 
10/05/2024 - Feedback has been received from central teams; slides have been shared with Recruit/People POGs in order to understand POG preferences for delivery method and timing of delivery of training vis a vis other PXD training. Julie has given POGs  2 weeks for consultation and feedback - meant to update us by 23 May. 
26/01/2024 - three additional courses for users. Julie to consider realistic deadlines. Update: Deadline set for May release
Three courses, set up in Access Planit. Workflows have been set up, but needs testing (i.e. signing up to the course, completing it, cancelling, moving dates etc and making sure the email notifications work). Julie taking forward with the aim of introducing a new course / guidance for HR staff on key HR / reward practices</t>
  </si>
  <si>
    <t>-Aiming to launch by end of August</t>
  </si>
  <si>
    <t>Online Shortlisting &amp; Interview Panel</t>
  </si>
  <si>
    <t>UAS Pilot
Wider rollout to early adopters (Sept 2024)</t>
  </si>
  <si>
    <t>Rollout of Online Shortlisting &amp; Interview Panel functionality to early adopter departments following pilot in UAS</t>
  </si>
  <si>
    <t>Interview panels will have direct access to all necessary shortlisting documents, eliminating the need for off-system file sharing.
Increased visibility of decisions and outcomes throughout the hiring process.
Streamlined and faster shortlisting processes, leading to more timely decision-making.
Greater flexibility for HR in managing the recruitment process.
Simplified processes for both HR and panel members, reducing administrative burden.
Enhanced security for accessing and managing candidate data.</t>
  </si>
  <si>
    <t>Recruitment POG</t>
  </si>
  <si>
    <t>Michelle, Simon</t>
  </si>
  <si>
    <t>Asta, Tonya, Julie, Phil Taylor</t>
  </si>
  <si>
    <t>18/09/24 - Go live delayed due to Pay &amp; Conditions work. Michelle sent list of users to Asta on 17th September.
06/09/24 - Demo took place. Go Live date communicated as 1st September.
09/08/2024 - Following a demo, final list of early depts now confirmed. Collating all users for whom to give access to this feature. Feature will be enabled from 1 Sept.
14/06/2024 - Early adopter depts now recruited - MW working on the plan for next steps.
07/06/2024 - Michelle has reached out to gather requests to be involved in a second pilot / early adopter. We have now identified enough departments interested. 
17/05/2024 - not much movement this week.
10/05/2024 - UAS HR have provided guidance on shortlisting. 
21/11/2023 - Online shortlisting configured in UOXP today.
07/11/2023 - catch up meeting scheduled for 10th November. 
10/10/2023 - UAS HR now UATing in UOXC, HR Systems to check in fortnightly, will pilot in UOXP when ready. 17/08 - TIK and SB met with Helen Johnson, will hold a catch up / hand over session on 11th September and discuss how UAS will start to use it. 
27/06/2023 - TIK / SB to pick up with Phil Taylor / Helen Johnson w/c 14th August. Phil Taylor to take forward with his Recruitment Hub team - TBC. If taken forward - Phil's team would take a lead on this; exploring functionality further and documenting processes.</t>
  </si>
  <si>
    <t>- Asta to set up menu profiles against listed users.
- Michelle will then let pilot departments know
- TIK to confirm updated deadlines.
- Improvements to come with Volcanic (applicant oneview)</t>
  </si>
  <si>
    <t>18_a</t>
  </si>
  <si>
    <t>Reporting review</t>
  </si>
  <si>
    <t>1. Introduce a new landing page for the Reporting library review to include all reports "on offer" by HR Systems</t>
  </si>
  <si>
    <t>Review and update the Reporting Library website landing page to ensure comprehensive coverage of all reports and dashboards available</t>
  </si>
  <si>
    <t>HR Reporting Users</t>
  </si>
  <si>
    <t>Discretionary - Service Improvement</t>
  </si>
  <si>
    <t xml:space="preserve">11/10/24 - Michelle reviewed all reports / data dashboards on offer. Creating a new landing page for data/reports to summarise our offering. Presenting data using new categories. </t>
  </si>
  <si>
    <t>- Michelle to make the new website live on 11/10/24</t>
  </si>
  <si>
    <t>101_a</t>
  </si>
  <si>
    <t>Gender Pay 2022-23 additional analysis for Divisions</t>
  </si>
  <si>
    <t>Implementation of GapSquare</t>
  </si>
  <si>
    <t>Sarah, Athena, Simon, Jarek, SarahK, Jess</t>
  </si>
  <si>
    <t xml:space="preserve">21/03/25 - waiting for training from Brightmine but all HRA team have access now.
07/03/25 - GapSquare training done on Wednesday.  21/02/2025 - Jarek has contacted 4 outstanding users who do not have IUAs asking them to complete the IUA document on CoSy. EDI Coordinators have authorised all proposed users to view EDI data for staff within Pay Equity Analytics tool. 
14/02 - Jarek confirmed user list, Athena checking user agreements. 29/01/2025 - 2023 and 2024 GPG data uploaded to Gapsquare. Athena and Jarek working with divisional coordinators to arrange a formal demonstration and training session with Brightmine (supplier), tentatively scheduled for Feb 5th. Some concerns about OUP data as it appears their figure for Gross Basic Pay is salary-only, and does not include allowances paid in relevant pay period, which is yielding slightly odd hourly rates - these are not having a material impact on the mean/median pay gaps, however. University-level mean and median pay gaps are within 0.5% of the rates calculated in-house using RStudio, so Athena has asked Jarek to speak to Sarah Kilgour, who needs to approve the use of Gapsquare's slightly different figures in committee papers and the annual GPG report for 2024. 
03/01/25 - Gapsquare purchased. Athena populating template.
29/11/24 - approval to proceed with purchase has now been received. 
21/06/2024 - Current focus is providing departments with data; Gapsquare (or alternatives) are longer term initiatives. This task will be put on hold, while a new activity will be created in the Roadmap to track new process for sharing GPG data with depts
07/06/2024 - AA sent 2023 MGPG data into Gapsquare template to assess how simple this may be.
17/05/2024 - Need to discuss at next HR/Reward catch-up 11/06/2024
10/05/2024 - Added to roadmap! Athena to flesh out this row. Not clear on what next steps should be, as Reward are leading on this (potential) piece of work.  </t>
  </si>
  <si>
    <t>22_d</t>
  </si>
  <si>
    <t>Implementing University access for all People Management users</t>
  </si>
  <si>
    <t>Simon, Asta, Michael, Lee, Sarah, Athena</t>
  </si>
  <si>
    <t>New</t>
  </si>
  <si>
    <t>Staff Classification Tool</t>
  </si>
  <si>
    <t>Release staff classification tool in a new, more user-friendly format</t>
  </si>
  <si>
    <t>Update of staff classification matrix into more user-friendly tool</t>
  </si>
  <si>
    <t>Improved accuracy of this key data used for HESA, REF and other purposes and improved user experience.</t>
  </si>
  <si>
    <t>Simon, Tonya, Sarah</t>
  </si>
  <si>
    <t>30/10/24 - Tool shared with POG members, feedback requested by 1st Novbember.
11/10/24 - Tool finallised and published as an App, security given to whole University. 
04/10/24 - New workspace has been created by IT Services.
13/08/24 - Implement changes following wider feedback from the team (SB). Tonya to plan launch and comms.
12/07/24 - Subect to a bit of further detailed testing to ensure accuracy, we can release the tool later this month, so far have only received feedback from 2 team members (Otter &amp; Nathan). The tool will then need to be reviewed and updated once new researcher grades are established.
28/06/24 - TIK and SB met and developed tool in PowerBI. Feedback from Susan and Julie thus far.
21/06/2024 - Feedback from Ant and Julie received, some updates required. Tonya has asked for some collaboration on making the matrix a bit more user-friendly in Excel. SB has offered to review.
14/06/24 - Susan has shared revised version. TIK/MW reviewed and made further revisions - for feedback with Ant and Julie; will then be shared with a few departments before publishing.
04/06/2024 - SP to complete streamlined version of staff class matrix using current reference data and to email to TIK by close of play this week (07/06). This is not the interactive tool; it is the reformatted 'flat file' staff class matrix for publication on the website.
17/05/2024 - No movement since last week; AA to meet with SP next week to get the ball rolling on this work again.
19/03/2024 - Susan has confirmed to Athena that the updated Staff Classification Matrix has been created with all the current reference data, and shared with Tonya and Sarah, however it is a flat file, like the old Staff Class Matrix, and therefore not very user-friendly. Susan is currently working on making an interactive version of the Matrix which will guide users towards the correct Staff Class based on choices they make in drop-down filters. 
26/01/2024 - Tonya logged enquiry with automation team. Kate Welsby has been in touch. Also meeting with Susan next week. Anne Mortimer (REF) is also keen to link in on staff classification. Also an overlap with standardising job descriptions project.
17/08/2023 - Part of first DQ project, Susan taken on from Mandy. Marie may be de-scoping this from the project, but there may be some retiring of existing codes to be done in the meantime.</t>
  </si>
  <si>
    <t>- Next steps is to make it live
- Confirm it's live and published in the bulletin
- Updating websites to provide links to the Staff Classification Tool
- POG feedback to be reviewed w/c 4th November and any changes / improvement incorporated ahead of a wider launch.</t>
  </si>
  <si>
    <t>Payroll reports review</t>
  </si>
  <si>
    <t>Payroll POG</t>
  </si>
  <si>
    <t>Discretionary - System development (inc POG)</t>
  </si>
  <si>
    <t>12/07/24 Tracy does want to finish this, but need to try to plan to deliver - low priority atm. Need to identify who can take this work forward and when.
12/01/2024 - SB to check with AA and TR to see if this can now be closed.
See spreadsheet for details. POG item 176</t>
  </si>
  <si>
    <t>- Kevin to reach out to Tracy to establish up to date requirements and assign to the team to take forward
- Tracy has asked us to put this on hold for now</t>
  </si>
  <si>
    <t>55_a</t>
  </si>
  <si>
    <t>Introduction of new OSM Service Request Forms</t>
  </si>
  <si>
    <t>Deliver user access request to dashboards/reports hosted in Tableau</t>
  </si>
  <si>
    <t>Streamline requests process
Clearer path for these types of requests for users, with ability to track/audit
For enhancement requests, this streamlines multiple processes and ensures all relevant and necessary details for such requests are captured upfront. This will save time for the team as it will avoid the need to go back and forth with clarifying requirements.</t>
  </si>
  <si>
    <t>Athena Swan users, Payroll Costing Matrix etc.</t>
  </si>
  <si>
    <t>Michelle, Ant</t>
  </si>
  <si>
    <t>Julie, Simon, Tonya, Sarah, Athena</t>
  </si>
  <si>
    <t xml:space="preserve">
19/07 - People Data and Dashboards service request form now live. Enhancement request form not live yet. 
21/06/2024 - Ant awaiting Julie's feedback; has arranged meeting with Louise Piper for 26th June. Guardians for central dashboards have been agreed and defined. AA has fed back to MW on report spec template. 
07/06/2024 - Testing has been in progress this week.
17/05/2024 - MK and HA have been testing this in Ant's absence. Michelle has provided AA with report spec template for her feedback.
10/05/2024 - Ant to coordinate departmental and local testing teams. Testing is ongoing. HC confirms it's a large amount of work so will take some time to test in full. TIK update on the enhancement requests Service Requests - should be ready for UAT by end of next week; Michelle will set up a meeting with HC to discuss report specification template for enhancement requests and make sure it's comprehensive. Michelle also finalising workflows within the OSM form (who gets notified and when).  
03/05/2024 - UAT is currently being organised (to be performed by Ant). TIK notes that there is a lot of data to check as part of UAT and we don't have enough resource to carry out the UAT - we need to discuss who ought to be carrying out the UAT, should mainly be HRA as these are the primary end-users of the service request forms. 
08/03/2024 - TIK and SB met with the OSM team. 
17/08/2023 - Ant is leading on this with Michelle's guidance. We might want to think about a deadline for this one.</t>
  </si>
  <si>
    <t>55_b</t>
  </si>
  <si>
    <t>Deliver system enhancement request (ie suggestions/specific requests for system/reports/guidance)</t>
  </si>
  <si>
    <t>Introduce new online system enhancement request form via OSM Service Request</t>
  </si>
  <si>
    <t>11/10/24 - Changes back with IT Services. 
19/09/24 - IT Services completed updated and passed to Michelle on 18th September
18/09/24 - IT Services have now implemented the changes. MW to review for accuracy and then would need some further UAT to ensure accuracy and can then launch.
08/08/23 - Final updates now with IT Services. Following this, the form can be launched.
19/07 - People Data and Dashboards service request form now live. Enhancement request form not live yet. 
21/06/2024 - Ant awaiting Julie's feedback; has arranged meeting with Louise Piper for 26th June. Guardians for central dashboards have been agreed and defined. AA has fed back to MW on report spec template. 
07/06/2024 - Testing has been in progress this week.
17/05/2024 - MK and HA have been testing this in Ant's absence. Michelle has provided AA with report spec template for her feedback.
10/05/2024 - Ant to coordinate departmental and local testing teams. Testing is ongoing. HC confirms it's a large amount of work so will take some time to test in full. TIK update on the enhancement requests Service Requests - should be ready for UAT by end of next week; Michelle will set up a meeting with HC to discuss report specification template for enhancement requests and make sure it's comprehensive. Michelle also finalising workflows within the OSM form (who gets notified and when).  
03/05/2024 - UAT is currently being organised (to be performed by Ant). TIK notes that there is a lot of data to check as part of UAT and we don't have enough resource to carry out the UAT - we need to discuss who ought to be carrying out the UAT, should mainly be HRA as these are the primary end-users of the service request forms. 
08/03/2024 - TIK and SB met with the OSM team. 
17/08/2023 - Ant is leading on this with Michelle's guidance. We might want to think about a deadline for this one.</t>
  </si>
  <si>
    <t>- IT to make changes and will then go back to Michelle to check (again).
- If happy, we can communicate this and provide relevant links to it from our pages,updating the process for requesting changes to system/reports/guidance.</t>
  </si>
  <si>
    <t>ITS1004</t>
  </si>
  <si>
    <t>WFM Rollout</t>
  </si>
  <si>
    <t>Support the project team in the roll out of the leave and absence, timesheets and rostering functionality.</t>
  </si>
  <si>
    <t>ITS1004 WFM Rollout Project</t>
  </si>
  <si>
    <t xml:space="preserve">· The delivery of Rostering software for use in pilot departments in the University
· The rollout of timesheeting, leave and absence software for use in all departments in the University
· The delivery of an automated solution for self service provisioning, freeing up resource within HR Systems team and speeding up access to ESS for users </t>
  </si>
  <si>
    <t>IT Services Project Team for the WFM rollout project</t>
  </si>
  <si>
    <t>Tonya, Julie, Simon, Asta, Michelle?</t>
  </si>
  <si>
    <t>10/05/2024 - HC met with Ralph Watson to discuss the hierarchy set-up for Rostering; this is the first stage of configuration.
29/02/2024 - FA funded by project has started in post this week, allowing additional resource in the team to cover backfill for project tasks
21/08/2023 - Aware of a number of system configuration and data loading tasks which will need to be done as part of the project, including set up of reference data and writing of reports / defining data items for DRAM to pull in.</t>
  </si>
  <si>
    <t>- Project ongoing, tasks assigned by project</t>
  </si>
  <si>
    <t>64_b</t>
  </si>
  <si>
    <t>HESA Staff Return Process Review (Focus review)</t>
  </si>
  <si>
    <t>Tonya, Simon, Athena, Ant, Henry, MarieK, Susan, Nathan,David, Michelle, Julie</t>
  </si>
  <si>
    <t xml:space="preserve">17/01/25 - Continuous Improvement Article written for People News and maybe somewhere else
10/01/2025 - received draft HESA CI article from Katelyn McPherson in PACS to use as basis for case study.
22/11/24 - Bulletin item written by Sarah and is now published.
08/03/2024 - Team met to run through tasks and assign ownership. 
23/02/2024 - Manager meeting to assign tasks, about 50% complete
13/12/2023 - Kick off meeting with Focus. Still need to finish the impact resource grid work and prioritise deliverables. </t>
  </si>
  <si>
    <t>Access PeopleXD and Experian Work Report</t>
  </si>
  <si>
    <t>Turning on a new feature for staff to opt into the Experian Work Report, which will allow employees to opt into their payroll information being shared with Experian as part of a credit check application, as an alternative to providing alternative evidence.</t>
  </si>
  <si>
    <t>Finance &amp; Reward</t>
  </si>
  <si>
    <t>New systems / modules</t>
  </si>
  <si>
    <t>12/07/24 - Not priority at present, but will need to review and roadmap in the near future.
26/01/2024 - Need to undertake info governance activity, need to schedule this in. 
24/11/23 - Initially opted out of this service but payroll and reward teams are both keen to implement. Concerns with information security and information compliance so will need to complete a TPSA. Will also need to get buy in from Markos.</t>
  </si>
  <si>
    <t>Clinical Pay Uplift 2024 - consultants</t>
  </si>
  <si>
    <t>Implementation of the Nationally agreed clinical pay uplift for clinical consultants</t>
  </si>
  <si>
    <t>Reward &amp; Payroll team</t>
  </si>
  <si>
    <t>Tonya, Susan, MarieK, Nik</t>
  </si>
  <si>
    <t>30/10/24 - Delivered but a slight delay due to RTI not being sent on time.
11/10 - planning meeting happened. Costings have been provided. Data is with Nik to load when Tracy is happy with the environment.
- HRA work completed already</t>
  </si>
  <si>
    <t>Amendments to timesheet processing as a result of rolling up holiday pay</t>
  </si>
  <si>
    <t>Introduce a system solution to support the HR policy of rolling up holiday pay for specific casual workers.</t>
  </si>
  <si>
    <t>Make any required changes necessary to the casual payroll claims spreadsheet and the timesheet functionality as a result of the policy decision to re-introduce rolled up holiday pay for sets of irregular hours workers</t>
  </si>
  <si>
    <t>HR Policy Team</t>
  </si>
  <si>
    <t>Simon, Tonya, Tracy, Kate Butler, Anna C-W, Holly K, Lisa M</t>
  </si>
  <si>
    <t>17/10/24 - HR Policy Newslestter and HRIS Bulletin comms are ready to go, guidance has been updated. 
11/10 - Julie has been working on comms and discussing with variety of stakeholders, comms are imminent but there's also delays to P&amp;C comms and this also needs to be considered when sending these comms out, so deadline missed.
04/10/24 - Pay code set up in UOXP, Report is released.
06/09/24 - Tracy has requested new pay code. 12/07/24 - Now have clarity re rolled up pay; and that this will need to be paid as a % allowance. Next steps: Tracy to request pay code and to test this.
23/02/2024 - Had a request for data re term time workers and payment methods.
12/01/2024 - Email from Kate Butler indicates we'll need to roll up holiday pay for casual teaching, student ambassador and casual examiners, some variable hours staff and TTO staff might also be in scope. This will mean a change in process for these types of workers, reconfiguration of WFM set up, potentially new pay code aggess groups being set up, potentially risks around those with multiple appointments who are in and out, plenty of testing, guidance updates, a new process created for how departments would calculate rolled up hours, issues around how we identify different types of worker in the system etc.</t>
  </si>
  <si>
    <t>- Julie to finalise the guidance and the comms
- Comms lead by policy, to go into October bulletin and briefing
- WFM impact on current pilot users to be assessed.</t>
  </si>
  <si>
    <t>80_a</t>
  </si>
  <si>
    <t>Line Manager Communications / manager mailing list</t>
  </si>
  <si>
    <t>Establishing project and defining deliverables</t>
  </si>
  <si>
    <t>TBC</t>
  </si>
  <si>
    <t>08/03/2024 - TIK and SB attending kick off project meeting. 
02/02/2024 - Pilot aimed for October 2024</t>
  </si>
  <si>
    <t>- Athena and Simon to review the manager column in the staff mailing lists PowerBI app. Need transition from Matt on the existing app.</t>
  </si>
  <si>
    <t>HR Systems Engagement strategy and comms plan</t>
  </si>
  <si>
    <t>Establish Engagement Strategy and Communications Plan for 2024</t>
  </si>
  <si>
    <t>Better understanding by the whole team/wider audiences on our approach to engagement and communication with departments/PeopleXD users and methods, tools for this.</t>
  </si>
  <si>
    <t>08/08/24 - Requires final sign off by MC - TIK to check in at next 1:1. Check re presentation, eg PowerPoint slides?
05/07  - TIK and MC met to discuss, Marie gave some feedback
21/06/2024 - still awaiting feedback
23/02/2024 - First draft completed, shared with MarieC.</t>
  </si>
  <si>
    <t>- Tonya to finalise document and share with MC. Also consider presenting as a PowerPoint presentation.</t>
  </si>
  <si>
    <t>ITS877</t>
  </si>
  <si>
    <t>Radioactive Materials Management</t>
  </si>
  <si>
    <t>Radioactive Materials Management Project</t>
  </si>
  <si>
    <t>Odyssey</t>
  </si>
  <si>
    <t xml:space="preserve">Phase 1 (Workers Module) 
   - Went live in August 2024.  
Phases 2 and 3 (Current Focus)  
   - Scope to include modules for radioactive materials, waste, machines, and permit compliance.  
   - Progress:  
     - Weekly workshops every Tuesday and Thursday to finalise system details.  
     - E-learning rollout to users by early March.  
     - UAT Department visits for user-specific training and system familiarisation for Mid-February.
   - Go-live target date: March 20, 2025, with staging (some processes like unsealed sources may transition from April).  </t>
  </si>
  <si>
    <t>- Need start date and deadline confirming
-o	James and Chris will have support roles
o	Need to build relationships with departments
o	Will need thorough understanding of permits and permissions
o	Documentation and knowledge transfer required
o	Team will be included in upcoming workshop invitations</t>
  </si>
  <si>
    <t>DTP1334</t>
  </si>
  <si>
    <t>Health &amp; Safety Management System</t>
  </si>
  <si>
    <t>Investigative project</t>
  </si>
  <si>
    <t>Kevin</t>
  </si>
  <si>
    <t>James, Marie C</t>
  </si>
  <si>
    <t>IRIS</t>
  </si>
  <si>
    <t>09/1/26 - Had the first board
28/11/25 - Mandated funding stream confirmed.
24/10/25 - Looking for sponsor, Brian is co-sponsor.</t>
  </si>
  <si>
    <t>- APC next week to get funding sign off
- Waiting for workshop meetings to be set up - with Helen Harbour.</t>
  </si>
  <si>
    <t>DTP1145</t>
  </si>
  <si>
    <t>ER - Employee Case Management</t>
  </si>
  <si>
    <t>ER Case Management Project</t>
  </si>
  <si>
    <t>HRBPs</t>
  </si>
  <si>
    <t>CRM</t>
  </si>
  <si>
    <t>DTP1018</t>
  </si>
  <si>
    <t>Researcher Career Pathway (Talent Management)</t>
  </si>
  <si>
    <t>Researcher Career Pathway (Talent Management) Project</t>
  </si>
  <si>
    <t>POD, Research Services</t>
  </si>
  <si>
    <t>Asta</t>
  </si>
  <si>
    <t>- Ongoing discussion with RSPU and POD on ongoing support</t>
  </si>
  <si>
    <t>Biohazardous Materials Management</t>
  </si>
  <si>
    <t>Biohazardous Materials Management Project</t>
  </si>
  <si>
    <t>On Hold - Waiting for funding</t>
  </si>
  <si>
    <t>Migration of Organisation Hierarchy from Back Office to Portal</t>
  </si>
  <si>
    <t>Migration of Organisation Hierarchy reference data and restructuring functionality from Back Office to Portal</t>
  </si>
  <si>
    <t>Migration of processes from back office forms into portal</t>
  </si>
  <si>
    <t>Compulsory - Vendor / Contractual</t>
  </si>
  <si>
    <t>Migrations</t>
  </si>
  <si>
    <t xml:space="preserve">
21/06/2024 - Change request has been approved
14/06/2024 - Lee raised CR 25 May.
10/05/2024 - Lee S has tested software in Portal and HC has reviewed it
26/03/2024 - New item on the HR Systems POG list - will need to take forward as we will lose access to back office screens at some point.</t>
  </si>
  <si>
    <t>- Original deadline (05/07) has been missed. Menu profiles need to be updated to allow access, Lee has been asked to liaise with Asta next week to achieve this.</t>
  </si>
  <si>
    <t>DTP1211</t>
  </si>
  <si>
    <t>Research Services - ORMS Project</t>
  </si>
  <si>
    <t>The Oxford Research Management System (ORMS) Project, the replacement of the X5 system</t>
  </si>
  <si>
    <t>Marie</t>
  </si>
  <si>
    <t>Nathan</t>
  </si>
  <si>
    <t>ORMS</t>
  </si>
  <si>
    <t>27/06/25 - An exemplory business case has been approved</t>
  </si>
  <si>
    <t>-Need start date and deadline confirming</t>
  </si>
  <si>
    <t>DTP1092</t>
  </si>
  <si>
    <t>Research management data for REF and research quality</t>
  </si>
  <si>
    <t>HR Systems team supporting multiple deliverables under the research management data for REF and research quality project</t>
  </si>
  <si>
    <t>Marie C, Kevin</t>
  </si>
  <si>
    <t>27/02/26 - Project want the ORCID to go ahead but they want the college data to go ahead now. Project need to set out working and where it appears in the onboarding list. College data planning is complete.
20/02/26 - Green light to go ahead with the project
23/01/26 - Project board agreed to progress, we need to provide accurate costings as a next step.
28/11/2025 - Project to take proposal to board on 12th December
30/09/2025 - Simon and Sarah met with Marie to provide estimates for the effort and cost involved in onboarding college staff onto PeopleXD.
29/09/2025 - Nathan has advised that "we are done with the SSO business. Ive gone back to Martin Mcgovern with some extra lists to help him with snagging but he has been quiet for a bit now and i think he realises that the HR data side of things has played out". 
27/6/2025 - Nathan provided a list of staff missing their SSO from PeopleXD
2/4/2025 - Crispin asking about reporting on ROD titles directly from eRecruitment; HFRA won't need this data until YE2025 so currently paused.
25/10/24 - Outcomes and recommendations were published, much of which is now part of other DTP streams. Formally the "investigative assignment" stage has finished and we're moving into an "implementation" phase (Anne Mortimer)</t>
  </si>
  <si>
    <t>- Kevin to review flexpoints for HESA UDF cleansing work and confirm to Marie C how many flexpoints we think we could volunteer.
- AG to set out timescales for when they could start this work.
- Crispin to arrange for outline of plan for ORCID being added to onboarding.</t>
  </si>
  <si>
    <t>Document all processes relating to usage of the Data Warehouse</t>
  </si>
  <si>
    <t>Formal documents in place to record the technical and functional specifications of the People_HR database within the Data Warehouse. SOPs in place describing navigation of the warehouse, the appropriate use of the schema hierarchy (load, stage, adhoc, people, people_protected), the approriate use of the different environments of the warehouse, and change management for the People_HR database.</t>
  </si>
  <si>
    <t>Athena, David</t>
  </si>
  <si>
    <t>21/02/2025 - David Johnson has been mapping out the data warehouse data model, working extensively with Simon Burford to create a detailed model. SB now has an entity diagram showing all views and their relationships within the DWH. David has also created stored procedures to improve performance of large views by translating them into static tables; he has written SOPs for the creating/amending/deleting of stored procedures. Documentation of the other DWH processes is continuing, lead by David. 
21/06/2024 - AA saving all correspondence between  DRAM and HR Sys relating to set-up/architecture/access rights for the DWH, with plan to formally document once system usage becomes more stable (currently a lot of changes ongoing!).</t>
  </si>
  <si>
    <t>- Agreed to remove this item and replace with specific deliverables as they are identified.
- David is mapping data model, establishing performance of existing views.
- SB to review and produce a plan for the future
- SOPs will then need to be written for the wider team to follow.</t>
  </si>
  <si>
    <t>Review the email signature from automated emails</t>
  </si>
  <si>
    <t>Update the signature in automated emails to help improve identifying this is not spam.</t>
  </si>
  <si>
    <t>The emails from the system coming from an access group email address is causing confusion among IT staff, and goes against information compliance guidance around remaining safe when reviewing emails. We would like to make it clear that the email is valid to build trust in the emails sent from the system. We also wish to reiview any manually sent emails at the start of the process to make it clear where emails will be sent from.</t>
  </si>
  <si>
    <t>IT Services</t>
  </si>
  <si>
    <t>Pending</t>
  </si>
  <si>
    <t>PowerBI Dashboard for Associate Professor recruitment diversity</t>
  </si>
  <si>
    <t>Create a PowerBI Dashboard for Associate Professor recruitment diversity</t>
  </si>
  <si>
    <t>The Equality &amp; Diversity Unit and divisional EDI coordinators will be able to 'self-serve' aggregated diversity data for Associate Professor recruitment campaigns, using a dedicated PowerBI dashboard.</t>
  </si>
  <si>
    <t>EDU</t>
  </si>
  <si>
    <t>David</t>
  </si>
  <si>
    <t>Susan, Simon</t>
  </si>
  <si>
    <t>19/09/25 - AP Recruitment dashboard now pointing at SILVER LIVE, awaiting final UAT sign-off by Ant and Henry. 
01/09/25 - David has been diverted onto other more time-sensitive tasks (Internal Mobility and Grading Services dashboards) so the go-live for this particular dashboard has been postponed. He hopes to be able to make the dashboard live this month.
03/07/25 - All views required for AP dashboard are now in SILVER LIVE environment and David has updated Jim Croxford of DSIP that, pending a few minor tweaks to the PBIX file, he expects to be able to make the dashboard live in DSIP sprint 13 (4th Aug to 15th Aug). 
20/06/25 - UAT is complete, feedback has been provided.
06/06/25 - UAT arranged by David.
28/05/25 - testing completed by Paul Musson. DRAM migrating data into QA so that UAT can take place. 01/05/2025 - David has published to PowerBI Service and tested refresh in DWHS. Supporting Paul with testing and Acceptance Criteria.
25/04/25 - Dashboard has been developed, demo'd to Marie and Simon
28/03/25 - Letittia has met with members of HRA to establish as is requirements. Simon has built the views in SILVER. 
14/02/25 - This item has been moved to the backlog for DSIP Data Warehouse project
28/11/2024 - No action taken on this front yet, however the desire from EDU to 'self-serve' AP Recruitment EDI data is still present and requests for this data come in to HRA at least a few times a month.</t>
  </si>
  <si>
    <t>-David anticipates publishing dashboard by end of this week (03/10)</t>
  </si>
  <si>
    <t>Linacre Oxford Weighting</t>
  </si>
  <si>
    <t>Implement uplifted Oxford Universiy Weighting rates to the Linacre Payroll rates within the system.</t>
  </si>
  <si>
    <t>Linacre / Payroll bureau service</t>
  </si>
  <si>
    <t>Simon, Tracy</t>
  </si>
  <si>
    <t>11/10/24 - Susan has produced Linacre files. Marie checked data.</t>
  </si>
  <si>
    <t>- Tracy to move the payroll into the correct period for testing
- Nik to load the files in UOXU
-Tracy to test
Simon to check</t>
  </si>
  <si>
    <t>Non-Clinical Pay Uplift 2024</t>
  </si>
  <si>
    <t>Implementation of the Nationally agreed non-clinical pay uplift</t>
  </si>
  <si>
    <t>Simon, Athena, Tonya, Susan, MarieK</t>
  </si>
  <si>
    <t>P&amp;C_2</t>
  </si>
  <si>
    <t>Phase 2 - Researcher Grades</t>
  </si>
  <si>
    <t>Implementation of new Researcher grades 6 - 10 and migration of staff onto those grades as part of the Pay and Conditions programme</t>
  </si>
  <si>
    <t>Implementation of new Researcher grades 6 - 10 and migration of staff onto those grades</t>
  </si>
  <si>
    <t>Compulsory - University Policy</t>
  </si>
  <si>
    <t>University Strategic Priority</t>
  </si>
  <si>
    <t>04/10/24 - Researcher grades released to Live, researchers have been migrated, some tidy up work undertaken by Payroll. HR Reporting reports all released to LIVE, SQL updated, downstream systems informed.
11/09/24 - Grades are in UOXU for checking
- Reports are being updated
- Downstream systems are being changed to accommodate new grades
- Interfaces are being updated and tested to accommodate changes
- Report has been shared with Departments to check data to be migrated
- Communications have been sent to departments, HAFs etc</t>
  </si>
  <si>
    <t>OSBSL ePloy API integration</t>
  </si>
  <si>
    <t>Assist OSBSL to integrate ePloy ATS with the People Management module in PeopleXD</t>
  </si>
  <si>
    <t>OSBSL will automate their manual process of setting up new starters in the system allowing them to benefit from an automated employee set up in the same way as other areas of the University, increasing data quality as inputting information gathered from applicants, including EDI data.</t>
  </si>
  <si>
    <t>Said Business School</t>
  </si>
  <si>
    <t xml:space="preserve">13/05/25 - Update from SBS: "After careful consideration of the proposed solution and other contributing factors, the decision has been made to pause the project indefinitely.
On behalf of myself and the wider team, thank you for the time and effort you’ve invested in exploring the integration. Your input has been invaluable in helping us understand what is possible with PeopleXD, and this knowledge will undoubtedly support future initiatives."
28/03 - Meeting went well, technical discussion around APIs.
14/02 - Grace completed work on LOVs. Currently with SBS external vendor. 17/01/25 - Kevin and Simon met with OSBSL and ePloy - SBS need to source a developer and host for an API
13/12/24 - Kevin and Simon reviewed data mapping document and respond to SBS
29/11/24 - SBS have provided their mapping document
15/11/24 - Simon and Marie met with SBS and agreed next steps.
04/10/24 - Marie C has written to SBS, a meeting to discuss next steps has been arranged.
12/09/24 - Marie Cooksey and Simon Burford met with SBS to discuss their requirements, requirements ironed out with Phil Taylor and scope confirmed. </t>
  </si>
  <si>
    <t>- SBS to consider feedback from meeting and additional documentation, test APIs and get back to us.
- We have an extra hour funded of AG resource if needed.</t>
  </si>
  <si>
    <t>CA102</t>
  </si>
  <si>
    <t>Annual Leave Year End Rollover</t>
  </si>
  <si>
    <t>System Maintenance for the new annual leave year; Including information gathering, data loading, configuration and testing, annual leave rollover and balance recalculation.</t>
  </si>
  <si>
    <t>Ensures the annual leave system is configured to work correctly for Departments using Leave and Absence within PeopleXD</t>
  </si>
  <si>
    <t>Leave and Attendance users</t>
  </si>
  <si>
    <t>Julie, Lee</t>
  </si>
  <si>
    <t>Compulsory - System Maintenance</t>
  </si>
  <si>
    <t>04/10/24 - all config tested and ready to be released / rolled over on Monday. Pilot departments have been communicated with.</t>
  </si>
  <si>
    <t>- Michael to roll over on Monday</t>
  </si>
  <si>
    <t>CA103</t>
  </si>
  <si>
    <t>Update Payroll Calendars</t>
  </si>
  <si>
    <t>Update payroll calendar in ESS</t>
  </si>
  <si>
    <t>ESS users</t>
  </si>
  <si>
    <t>Grace / Nik</t>
  </si>
  <si>
    <t>20/12/24 - Asta implemented, will show the rest of the team next year.
29/11/24 - This work has been passed over to Asta
22/11/24 - Michael to lead, Grace and Nik to shadow</t>
  </si>
  <si>
    <t>CA104</t>
  </si>
  <si>
    <t>August Hierarchy Restructuring</t>
  </si>
  <si>
    <t>Updates to the Organisation Structure in response to any changes to the PRAC Org Structure (August update)</t>
  </si>
  <si>
    <t>Ant</t>
  </si>
  <si>
    <t>CA106</t>
  </si>
  <si>
    <t>HESA Staff Return</t>
  </si>
  <si>
    <t>SarahR</t>
  </si>
  <si>
    <t>Simon, Athena, Susan, Henry, Ant., MarieK, Nathan, David, Tonya</t>
  </si>
  <si>
    <t>CA108</t>
  </si>
  <si>
    <t>Financial statements</t>
  </si>
  <si>
    <t>Finance &amp; Deloitte</t>
  </si>
  <si>
    <t>11/10/24 - Auditors files now shared, working with Trish.
-Pay Ratios and High Earners data produced.</t>
  </si>
  <si>
    <t>-Auditors investigating throughout October</t>
  </si>
  <si>
    <t>CA112</t>
  </si>
  <si>
    <t>Year End Reporting/Annual staffing Figures 2023/24</t>
  </si>
  <si>
    <t>Production of Year End Reporting/Annual staffing Figures</t>
  </si>
  <si>
    <t>Internal reporting</t>
  </si>
  <si>
    <t xml:space="preserve">05/11/2024 - all year-end reporting outputs have been created for the 2023-24 academic year and the Staffing Figures multi-years database (used extensively by HRA) has been refreshed with the latest data. </t>
  </si>
  <si>
    <t>CA113</t>
  </si>
  <si>
    <t>Respond to year end Ad Hoc dataset requests</t>
  </si>
  <si>
    <t>CA121</t>
  </si>
  <si>
    <t>UCEA Salary Survey</t>
  </si>
  <si>
    <t>Senior Staff Salary Survey</t>
  </si>
  <si>
    <t>Reward Team and/or Payroll</t>
  </si>
  <si>
    <t>Discretionary - Benchmarking salary data</t>
  </si>
  <si>
    <t>13/12/24 - Marie has completed the work, with Reward for sign off, Marie will still need to submit.</t>
  </si>
  <si>
    <t>CA129</t>
  </si>
  <si>
    <t>Public Sector Equality Duty (PSED) datasets for staff and recruitment</t>
  </si>
  <si>
    <t>Production of PSED staff and recruitment datasets following the finalisation of the year-end staffing figures</t>
  </si>
  <si>
    <t>Susan, Nathan, MarieK</t>
  </si>
  <si>
    <t>PSED staff dataset for 2024 is now complete. Awaiting confirmation from MarieK that recruitment dataset is complete before handover to Laura Jones (EDU) for the writing of the annual Equality Report.</t>
  </si>
  <si>
    <t>OUI Pension</t>
  </si>
  <si>
    <t>Implementation of a new pension scheme for Oxford University Innovation, to meet Aviva rules.</t>
  </si>
  <si>
    <t>Implementation of a new pension scheme for one of the subsidiaries who operate a separate pension scheme for their staff.</t>
  </si>
  <si>
    <t>Payroll and Pensions</t>
  </si>
  <si>
    <t>Tracy, Linda</t>
  </si>
  <si>
    <t>23/09/24 - This change has been discussed previously, and some initial testing has been carried out by Nik. More testing needs to happen and Tracy has confirmed that the deadline has been pushed out to January, so we will pick this up again in December.</t>
  </si>
  <si>
    <t>- Tracy has pushed this into January, will review in first week of Jan.
- Kevin to check if we have a confirmed implementation date</t>
  </si>
  <si>
    <t>Streamlining Communications</t>
  </si>
  <si>
    <t>Streamlining communications channels, mailing lists and processes, delivered as part of Focus Local Practitioner programme</t>
  </si>
  <si>
    <t>- Deadline to be reviewed</t>
  </si>
  <si>
    <t>New TSS post on PeopleXD</t>
  </si>
  <si>
    <t>Create a new TSS Bucket Post (TSSTMP) in PeopleXD to aid in the creation of records in PeopleXD</t>
  </si>
  <si>
    <t xml:space="preserve">This is a pre-requisit for the ePloy implementation. Implementation of ePloy means a quicker and easier method of applying for TSS applicants,data collection and migration of data will be automated reducing the workload on TSS admins. </t>
  </si>
  <si>
    <t>TSS</t>
  </si>
  <si>
    <t>19/11/24 - Simon has updated the PERCTR12 report, Tracy has completed the payroll impact testing in UOXU. Go live set for 20.11.24.
15/11/24 - Michelle has updated people profile matrix.
08/11/24 - Interfaces have been updated to exclude the TSS post where necessary.
11/10/24 - Tom and TSS team tested in UOXZ.
07/10/24 - SB has set up the new post "TSSTMP" in UOXZ. Asta has set up users with access.
04/10/24 - SB met with Tom Harlos to understand requirements.</t>
  </si>
  <si>
    <t>- Athena to review HRA reports
- Also need to check alteryx workflows.</t>
  </si>
  <si>
    <t>TSS ePloy integration</t>
  </si>
  <si>
    <t>Assist TSS to integrate ePloy ATS with the People Management module in PeopleXD</t>
  </si>
  <si>
    <t xml:space="preserve">Provide an automated method of setting up employee records in PeopleXD based on information gathered in ePloy. Implementation of ePloy means a quicker and easier method of applying for TSS applicants,data collection and migration of data will be automated reducing the workload on TSS admins. </t>
  </si>
  <si>
    <t>29/11/24 - Tom would like to explore data loading tss records in from e-Ploy instead of building an interface</t>
  </si>
  <si>
    <t>- SB to reach out to Tom to update him on the 'webhooks' that SBS mentioned as this might be a more appropriate solution if this allows for a more self serve approach to interfacing.</t>
  </si>
  <si>
    <t>September TUPEs</t>
  </si>
  <si>
    <t>Processing TUPE records for Biochemistry</t>
  </si>
  <si>
    <t>New records set up for Biochemistry</t>
  </si>
  <si>
    <t>Biochemistry</t>
  </si>
  <si>
    <t>October TUPEs</t>
  </si>
  <si>
    <t>Processing TUPE records for Law Faculty and Primary Care Health Sciences</t>
  </si>
  <si>
    <t>New records set up for Law Faculty and Primary Care Health Sciences</t>
  </si>
  <si>
    <t>Law Faculty and Primary Care Health Sciences</t>
  </si>
  <si>
    <t>CA128</t>
  </si>
  <si>
    <t>Recognition of Distinction</t>
  </si>
  <si>
    <t>RoD Allowances, UDF and Appointment updates as a result of the Recognition of Distinction exercise</t>
  </si>
  <si>
    <t>RoD data is entered accurately in the system to allow good quality data reporting and to allow accurate payments to staff</t>
  </si>
  <si>
    <t>Reward and Divisions</t>
  </si>
  <si>
    <t>CA131_a_2425</t>
  </si>
  <si>
    <t>Staff Survey 2025</t>
  </si>
  <si>
    <t>Draft Participant file (incl. demographic info) developed and sent to PI</t>
  </si>
  <si>
    <t>Provide support for the staff survey 2025, provision of accurate data set</t>
  </si>
  <si>
    <t>Staff Survey sent to the correct staff.</t>
  </si>
  <si>
    <t>13/12/24 - Athena provided participant template file to Laura. 
28/11/2024 - No action taken in the past week.
22/11/24 - Laura Jones confirmed that she needs a Technicians column added to the file. Information sent through to Athena, draft file needs to be prepared by the end of January.</t>
  </si>
  <si>
    <t>- Athena waiting for People Insight to confirm that they have updated their template</t>
  </si>
  <si>
    <t>CA101_2425_b</t>
  </si>
  <si>
    <t>Payrolling Benefits</t>
  </si>
  <si>
    <t>The University are going to begin payrolling benefits from April 2025. Exactly what this will entail is yet to be defined.</t>
  </si>
  <si>
    <t>Starting from April 2026, HMRC are mandating the payrolling of benefits in kind for all employers, however employers can volunteer to payroll benefits from an earlier tax year. The University have decided to payroll benefits from April 2025. We want to have the first year to iron out kinks before we are mandated to do it.</t>
  </si>
  <si>
    <t>Tracy</t>
  </si>
  <si>
    <t>04/04/2025 - Functionality has been deployed into LIVE
28/2/25 - Codes created in Z with Tracy for testing.
14/02/25 - Asta working on this with Tracy. Asta setting up new paycodes in UOXZ ready for YE testing.</t>
  </si>
  <si>
    <t>- Tracy to complete testing
- Kevin to escalate with AG</t>
  </si>
  <si>
    <t>Further EJRA Reporting Requirements</t>
  </si>
  <si>
    <t>Track new starters and leavers to help assess the aims of the policy. Potential of a data warehouse solution here?</t>
  </si>
  <si>
    <t>Provide a solution to assist with additional EJRA reporting requirements for starters and leavers.</t>
  </si>
  <si>
    <t>Enable broader set of eidence about EJRA to assist justifying the policy</t>
  </si>
  <si>
    <t>Policy Team</t>
  </si>
  <si>
    <t>17/01/25 - Kathryn F-J - nothing specific outcomes from VC conversation, need to gather information on reasons for leaving but going to collect via JISC survey.
13/12/24 - Susan has refreshed the EJRA dashboards with 2023-24 data.
28/11/2024 - Simon and Athena met with Kathryn Fairhurst-Jones to discuss her requirements. Kathryn asked for the existing EJRA dashboards to be refreshed with the finalised data for the 2023/24 year, but advised that she is unsure of whether her requested enhancements will actually be necessary - she is meeting with the VC on 9th December and will advise Simon and Athena of the outcome. 
22/11/24 - Tonya has sent requirement details from Katheryn Fairhurt Jones through to Athena. 
15/10/24 - this was originally raised as an enhancement request (#349 on the POG list) but was determined as compulsory rather than discretionary and therefore needs to be roadmapped directly.</t>
  </si>
  <si>
    <t>Amend WFM Timesheet process for new rolled up holiday pay process and policy</t>
  </si>
  <si>
    <t>Support the WFM Project to implement changes to timesheets to comply with rolled up holiday pay policy</t>
  </si>
  <si>
    <t>HR Policy Team / WFM project</t>
  </si>
  <si>
    <t>Simon, Tonya, Tracy, Kate Butler, Anna C-W, Tracy B-B</t>
  </si>
  <si>
    <t>21/01/25 - SB met with Sharon Cornwell and Sally Staden to outline the WFM impact. Covered the need to analyse balances and PCAG to prevent casuals with rolled up holiday pay claiming annual leave payments and getting paid it twice.
Also see item #77.</t>
  </si>
  <si>
    <t>- Sharon and Sally to analyse and feedback requirements, set up meeting with Policy Team, discuss with Michael and plan next steps.</t>
  </si>
  <si>
    <t>Internal Payroll and HR Audit</t>
  </si>
  <si>
    <t>Support the PriceWaterhouseCoopers internal Payroll and HR Audit</t>
  </si>
  <si>
    <t>Provide assurance to Finance that payroll processes are being followed correctly.</t>
  </si>
  <si>
    <t>Asta, TBC</t>
  </si>
  <si>
    <t>09/01 - SB: I reached out to PWC and got a reply from them this morning saying that Tracy Roberts has been able to provide them with all the information they need so he doesn't expect to need anything further from our team. He'll let me know if that changes, but I'm going to mark that item as complete on the roadmap.</t>
  </si>
  <si>
    <t>- SB to reach out to ask for an update (include Claire D'Mellow)</t>
  </si>
  <si>
    <t>On Hold - Waiting for external team</t>
  </si>
  <si>
    <t>Clinical Pay Uplift 2024 - Junior Doctors</t>
  </si>
  <si>
    <t>Implementation of the Nationally agreed clinical pay uplift for junior doctors</t>
  </si>
  <si>
    <t>Tonya, Athena, Simon</t>
  </si>
  <si>
    <t>18/12/24 - Uplift implemented 18th December
13/11/24 - Nik configured uplift in UOXU, tested by Tracy Roberts. 
05/11/2024 - Clinical costings produced for April 23 extra uplift, April 24 uplift (based original April 23 salaries), and April 23 + 24 uplift (using the April 23 extra uplift salaries as the baseline for the April 24 uplift). Costings sent to Reward for analysis. Susan Pratt and David Johnson currently producing uplift files for use by Functional Analyst team.
23/10/24 - initial scoping meeting took place, agreement that we could implement at the end of December for January's payroll. Detailed planning needs to happen.</t>
  </si>
  <si>
    <t>OrgVue Datasets for SWP Project</t>
  </si>
  <si>
    <t>Set up of OrgVue to sit behind SSO and to provide an initial data set to load into the system</t>
  </si>
  <si>
    <t>OrgView will be implemented for use by HR teams</t>
  </si>
  <si>
    <t>Human Resources Department</t>
  </si>
  <si>
    <t>Sarah, Athena, Simon</t>
  </si>
  <si>
    <t xml:space="preserve">05/12/24 - OrgVue has been implemented and data loaded. All follow up data quality issues will be logged under the "supporting SWP project" row.
13/12/24 - SSO set up, data has been loaded. 
29/11/24 - SSO almost set up for production, working in staging. Athena has met with OrgVue around the data loads, our data structure is not compatible with orgvue's expectations around post management so there will be additional work to find a solution here. </t>
  </si>
  <si>
    <t>CA135_2526</t>
  </si>
  <si>
    <t>SUMS Senior Acadmic Salary Survey</t>
  </si>
  <si>
    <t>- Marie K to ask Total Reward Team to confirm the deadline
- Marie C to discuss with Sarah Clarke</t>
  </si>
  <si>
    <t>Pending/Expected</t>
  </si>
  <si>
    <t>CA134_2526</t>
  </si>
  <si>
    <t>SUMS Global Pay Club Survey</t>
  </si>
  <si>
    <t>ITS214</t>
  </si>
  <si>
    <t>ORCID via onboarding (supporting ITS214 Improving open access compliance project)</t>
  </si>
  <si>
    <t>Addition of the collection of ORC ID as part of onboarding.</t>
  </si>
  <si>
    <t>Capturing ORCID (Open Researcher and Contributor ID) via onboarding to make it available for use in downstream systems and potentially PeopleXD if HESA make the field mandatory.</t>
  </si>
  <si>
    <t>3 major projects: ITS214 Improving open access compliance and DTP1092 Research management data for REF. DTP1211 ORMS (Oxford Research Management System) project</t>
  </si>
  <si>
    <t>Grace</t>
  </si>
  <si>
    <t>Nathan, Kevin, Simon, Michelle, Tonya, Julie</t>
  </si>
  <si>
    <t>21/02/2025 - may actually be finished; need an update from FA to confirm. A tile has been created - is this live?
14/02/24 - Going to use the tile in onboarding, change approved
17/01 - Grace feels she understands the requirements and has pulled together a test plan. 
13/12/24 - Requirements have been established from project point of view.
29/11/24 - Kick off meeting this week, questions established.
22/11/24 - Grace assigned, Kevin to work closely with her, meeting set up w/c 25/11/24 to outline next steps.
15/11/2024 SB set up meeting with FA, BC and Nathan. Deadline of 7th February has been put forward to the project team.</t>
  </si>
  <si>
    <t>- Change to be implemented this week</t>
  </si>
  <si>
    <t>CA131_b_2425</t>
  </si>
  <si>
    <t>Final Participant file (incl. demographic info) with final updates TBC date</t>
  </si>
  <si>
    <t>14/02/25 Athena reviewed queries from PeopleInsight and responded and provided a new file to them, including technicians according to our definition, cc'ing Laura Jones, who is coordinating the survey on the University's end.
29/01/2025 - Athena has received list of queries from PeopleInsight (the supplier managing the survey) that may necessitate tweaking the report query for the final participant file</t>
  </si>
  <si>
    <t>- Final Data cut to be provided 21st March.</t>
  </si>
  <si>
    <t>101_b</t>
  </si>
  <si>
    <t>Short Term provision of GPG data to Departments</t>
  </si>
  <si>
    <t>Implementation of a short term process whereby Departments can request raw gender pay gap data from the HRA team.</t>
  </si>
  <si>
    <t>This will allow departments to do their own analysis on gender pay gap until the point where GapSquare is introduced.</t>
  </si>
  <si>
    <t>EDI coordinators and Departments</t>
  </si>
  <si>
    <t>Jen Chapin, Jarek, Sarah K, Simon, Tonya</t>
  </si>
  <si>
    <t xml:space="preserve">10/01/2025  - short-term interim process finalised with EDI coordinators, SOP written, needs UAT but no new requests received since SOP completed. 
13/12/24 - Two proposals have been put to divisions and there is still ongoing discussion around providing named datasets. 
28/11/2024 - a short-term process has been established to enable departmental users to request their local GPG datasets. Their requests are subject to approval by the EDI coordinators. To facilitate this, Microsoft Forms for requests and approvals have been set up, and the Cascade communication has gone out to socialise the short-term request process. There was discussion around whether to include employee names in the departmental datasets; after some debate, it was agreed that HRA will provide a 'named' dataset to requesters who are confirmed HAFs/HODs (the requester must specify that they are a HAF/HOD at the point of request, and the EDI coordinator must confirm it in their approval form). Requesters who are not HAFs/HODs will receive an anonymised dataset. The updated version of the MGPGR Year-on-Year Comparison workbook has been published to the Tableau server, to enable the HRA team to download data to serve approved departmental requests.
14/11/24 - It has come to light that this piece of work was not completed, or not socialised thoroughly enough. </t>
  </si>
  <si>
    <t>Equality Report (PSED) Data Dashboard</t>
  </si>
  <si>
    <t>Development of an Public Sector Equality Duty Report (PSED) Dashboard.</t>
  </si>
  <si>
    <t>EDU member responsible for writing the University's annual Equality Report will be able to self-serve the figures required from a PowerBI dashboard, rather than creating dozens of pivot tables using raw data provided by HR Analytics. This should save weeks of effort on the part of EDU.</t>
  </si>
  <si>
    <t>Equality &amp; Diversity Unit</t>
  </si>
  <si>
    <t>29/09/2025 - Susan has provided the 2025 PSED data to Laura Jones with pivot tables summarising the data into the figures Laura needs for the annual Equality Report. 
05/09/2025 - Susan has commenced work on the year-end processing, starting with the Leavers derivation which is essential to HESA as well as Turnover. PSED is her year-end priority after the Leavers work is completed.
08/08/25 - Laura has confirmed requirements. 
26/06/2025 - Susan met with Laura Jones to discuss her requirements for the proposed PSED dashboard, now awaiting confirmaton from Laura of which pivot tables in the (extensive!) PSED file she actually requires in order to produce the annual Equality Report, so that Susan can focus on creating these visuals in PowerBI.
28/04/2025 - Athena discussed with Susan, Susan to take on this piece of work in May / June using 24 year end figures to produce a PowerBI dashboard which summarises the data for LJ</t>
  </si>
  <si>
    <t>- Athena to recommence development of the "reporting year end" view(s) in the data warehouse that will allow us to build year-end staffing data dashboards in PowerBI.
- Marie and I will discuss alongside other priorities.
- Once we have year end view sorted (deadline December) Susan can recreate in PBi.</t>
  </si>
  <si>
    <t>Collegiate EDI data</t>
  </si>
  <si>
    <t>Enabling the collection and sharing of collegiate EDI data</t>
  </si>
  <si>
    <t>Will allow the University to understand it's collegiate EDI makeup and will support initiatives such as REF. Will support the colleges with what information they need to collect and may result is helping smaller colleges get systems to support them.</t>
  </si>
  <si>
    <t>Tim Soutphommasane / EDI Team</t>
  </si>
  <si>
    <t>Renu / Marie C / Marilyn</t>
  </si>
  <si>
    <t>Simon / Tonya</t>
  </si>
  <si>
    <t>09/01/26 - Recommendations have gone to the joint committee who have agreed to them all, we will need to ride on the back of other initiatives. This is now closed.
12/12/25 - Joint Committee of EDI has met, awaiting update to determine whether this piece of work will be taken forward in modified form (e.g. for REF data purposes), or if this item will be closed down.
03/10/25 - recommendation paper in November to advise that there isn't enough funding to take this forward. Recommendation to start aligning data with UCEA and to do a census etc.
18/07/25 - Survey responses received. Got less than 20 back. Pushing for more responses.
27/06/25 - Survey issued to colleges to understand EDI categories on 26th.
06/06/25 - Various committees including SCOB attended and JEDI attended. Socialisation has been the focus
04/04/2025 - MC has met with stakeholders and briefed the sponsors.
14/02/25 - Paper went to EDI group to set up a Collegiate EDI data working group, Simon and Marie to present with Marilyn
10/01/2025 - working group set up, first meeting set for 27th January in preparation for next meeting of JEDI committee (lol). 
13/12/24 - Agreement given to form working group</t>
  </si>
  <si>
    <t>- Marie to check for any updates and confirm.
- Requested to expand the scope to include other data to support REF. Waiting to hear back from sponsors (Tim, Helen, Renu) before going to Joint EDI committee in Michaelmas term.
- Jim Croxford has shared ideas for technical solution, this needs to be worked through</t>
  </si>
  <si>
    <t>CA129_2526</t>
  </si>
  <si>
    <t>Scheduled</t>
  </si>
  <si>
    <t>DTP01191</t>
  </si>
  <si>
    <t>Strategic workforce planning project support</t>
  </si>
  <si>
    <t>OrgVue &amp; project support</t>
  </si>
  <si>
    <t>HR Systems support of the Strategic Workforce Planning project and the use of the OrgVue tool.</t>
  </si>
  <si>
    <t>Analysing the functionality of OrgVue, supporting the pilot user workshops and training, supporting with data refreshes and data quality analysis.</t>
  </si>
  <si>
    <t>Sarah Kilgour</t>
  </si>
  <si>
    <t>Athena, Sarah, Nathan</t>
  </si>
  <si>
    <t>OrgVue</t>
  </si>
  <si>
    <t xml:space="preserve">10/01/2025 - MarieC and Athena met with OrgVue to discuss need to cleanse data for pilot depts in order to make it usable. OrgVue holding first session with pilot depts next Monday (13th Jan), will demonstrate what OrgVue is capable of using dummy data, then discuss need to cleanse UOX data in order to make best use of OrgVue capabilities. </t>
  </si>
  <si>
    <t>- Contining to seek funding to support orgvue. Stephen Conway is interested in the detail.</t>
  </si>
  <si>
    <t>CA128_2526</t>
  </si>
  <si>
    <t>GDPR File Management</t>
  </si>
  <si>
    <t>Cleardown of the backlog of personal data in FOIs Ad Hocs etc</t>
  </si>
  <si>
    <t>All permanent team members</t>
  </si>
  <si>
    <t>Other</t>
  </si>
  <si>
    <t>Off System Processes</t>
  </si>
  <si>
    <t>20/02/26 - Cleared down to a couple of years, now in BAU maintenance
14/11/2025 963 folder have been reviewed comprising 946 from 2006 to 2018 and 17 folders in 2019; 862 are now GDPR compliant and the remainder are either exempt or require guidance.
28/02/25 - Henry has been chipping away at this one. 
29/11/24 - Work has been allocated to the team to take forward</t>
  </si>
  <si>
    <t>CA127_2526</t>
  </si>
  <si>
    <t>UCEA Intersectional Pay Gap Survey</t>
  </si>
  <si>
    <t>Start in March (align with Gender Pay) - early August</t>
  </si>
  <si>
    <t>- Marie K to ask Total Reward Team to confirm the deadline. Confirm if we need to complete this for 2026
- Marie C to discuss with Sarah Clarke</t>
  </si>
  <si>
    <t>CA126_2526</t>
  </si>
  <si>
    <t>HESA Estates Management Return</t>
  </si>
  <si>
    <t>Contribution of staff data for HESA Estates Management Return</t>
  </si>
  <si>
    <t>Contribution of staff data for EMR</t>
  </si>
  <si>
    <t>Estates</t>
  </si>
  <si>
    <t xml:space="preserve"> - Ant working on the dataset he is confident will be needed. 
</t>
  </si>
  <si>
    <t>CA101_2425_a</t>
  </si>
  <si>
    <t>Payroll Year End 2025</t>
  </si>
  <si>
    <t>Payroll Year End software updates, configuration, testing, delivery, and comms.</t>
  </si>
  <si>
    <t>Ensures the payroll system is legally compliant for the new payroll tax year.</t>
  </si>
  <si>
    <t>Payroll Team</t>
  </si>
  <si>
    <t>07/03//25 - Testing on track, benefit in kind included in testing. Slight issue with that - raised with AG. 
28/02/25 - With Tracy to complete testing.
14/02/25 - Software has been released. Nik leading on this with Asta. 
10/01/25 - Kick off meeting held with Darren Brennan</t>
  </si>
  <si>
    <t>- All ready to go live on Wednesday 26th March</t>
  </si>
  <si>
    <t>Health &amp; Safety Dashboards</t>
  </si>
  <si>
    <t xml:space="preserve">Development of a Health &amp; Safety Dashboard for Safety Executive Group (SEG). </t>
  </si>
  <si>
    <t>Brian Jenkins</t>
  </si>
  <si>
    <t xml:space="preserve">Marie </t>
  </si>
  <si>
    <t>Simon, David, James, Chris</t>
  </si>
  <si>
    <t>28/10/25 - Taken forward under separate items - import of Cority data and then H&amp;S dashboards build.
06/06/25 - Marie met with Jim re costs for implementation of APIs. No budget available until 26/27. 
04/04/2025 - MarieC to meet with DSIP board on Monday. Chris Sanders has been working on requirements for this dashboard and discussing with Simon what needs to be pulled into the DWH. David is being asked to build up a prototype dashboard using spreadsheets rather than DWH data; there is concern that DSIP is under such pressure to produce outputs that the team is losing focus on building up the data warehouse. 
28/03/25 - information received from all suppliers now.
14/03/25 - HR Systems met with DSIP to discuss requirements.
We have a deadline of end Jun/early July to provide this dashboard – is this feasible?</t>
  </si>
  <si>
    <t>- Marie to discuss funding with Naomi on Monday
- Jim going to take away funding issues and interfaces that don't have a cost.
- Brian to provide dashboard mockup
- James and Chris to request information that DRAM need from the various suppliers of H&amp;S systems.</t>
  </si>
  <si>
    <t>CA104_2425_a</t>
  </si>
  <si>
    <t>Hierarchy Restructuring: January 25</t>
  </si>
  <si>
    <t>Updates to the Organisation Structure in response to any changes to the PRAC Org Structure (January update/August update)</t>
  </si>
  <si>
    <t>14/02/25 - All changes have been made, identified a couple of issues around staff requests.</t>
  </si>
  <si>
    <t>- There's a couple of missing codes which Lee is working on.</t>
  </si>
  <si>
    <t>CA125_2526</t>
  </si>
  <si>
    <t>JNCHES Pay Negotation Survey</t>
  </si>
  <si>
    <t>Contribution for national pay negotiations survey</t>
  </si>
  <si>
    <t>- JNCHES Pay Negotiation Survey forwarded to MarieC by Kathryn Fairhurst-Jones on 17-FEB-26, further forwarded to Athena and Sarah. Athena picked up the task and created a workflow to analyse the staff population and produce the answers to the survey questions which fall within HR Systems' remit. Athena provided the updated survey questionnaire to Kathryn and cc'ed Sarah Clarke (Head of Total Reward) for her input on three questions which require confirmation by the Reward team. Athena advised Kathryn that the 'Impact on Finance' sections of the questionnaire have historically been responded to by the Finance team.</t>
  </si>
  <si>
    <t>CA124_2526</t>
  </si>
  <si>
    <t>Korn Ferry UK Pay Survey (previously Russell Group)</t>
  </si>
  <si>
    <t>Korn Ferry Pay Survey - previously known as Russell Group Salary Survey.</t>
  </si>
  <si>
    <t>Off System Reporting</t>
  </si>
  <si>
    <t>06/03/26 - Submitted this week
27/02/26 - Jasmin has signed this off, data is done.
13/02/26 - Resolved issues around senior leadership and reward have a set of dashboards now.
06/02/26 - Data has been provided to Total Reward. Reward have questions about senior leadership.
23/01/26 - Marie to begin work on this 26/01. 
External data collection deadline 27 Feb (final report issued 30th May)</t>
  </si>
  <si>
    <t>148_a</t>
  </si>
  <si>
    <t>UCEA Sickness Absence Survey 24-25</t>
  </si>
  <si>
    <t>Collation of sickness absence data from across the University for the 24-25 sickness absence survey. May also allow us to create a benchmarked sickness absence dashboard once UCEA publish the results in March 2026</t>
  </si>
  <si>
    <t>Provide collated University wide sickness data for the first time. Will help to support the University Wellbeing programme. Will allow us to submit the UCEA Sickness Absence Survey.</t>
  </si>
  <si>
    <t>Wellbeing</t>
  </si>
  <si>
    <t>22/07/25 - Marie shared that it has been agreed that we don't need to complete the sickness absence survey for 2024-25, but will be doing it for 25/26. The focus shifts to this, so I've set up 148_b to cover this.
27/06/25 - UCEA reason codes mapped to sickness absences in DWH, and views. All promoted to LIVE but with issues. Comms and engagement plan created.
13/06/25 - Sonhal met with SB to discuss WFM departments going live in October getting their sickness data in wef August. 
29/05/2025 - Simon has created a data gathering template and discussed with the working group.
28/03/25 - Simon has shared project update and various data analysis documents for the team to review.
Simon has sent out notes from meeting with Frances Parkes and Sophiya Bilal</t>
  </si>
  <si>
    <t>- Renu to take proposal to pause to Markos
- Frances Parkes to complete actions.
- Marie to reach out to David White as a sponsor</t>
  </si>
  <si>
    <t>Support ACRF consultation mailing</t>
  </si>
  <si>
    <t>Annalisa Miller</t>
  </si>
  <si>
    <t>Michelle, Athena</t>
  </si>
  <si>
    <t xml:space="preserve">01/07/25 Annalisa confirmed delay in send out timetime, now not likely required until HT2026.
13/06/25 - Annalisa clarified delay in need for mailing list. Promised selection criteria by end of June. </t>
  </si>
  <si>
    <t>- Annalisa to confirm requirements in HT2026
- Need to provide various breakdowns of mailing lists. Prof Services staff, in different categories. Academics in scope. Annalisa to reach out with the request in June.</t>
  </si>
  <si>
    <t>HESA new IMS dashboard testing</t>
  </si>
  <si>
    <t>UAT and feedback to HESA over new Issue Management System (IMS) dashboard.</t>
  </si>
  <si>
    <t>HDP &amp; HESA website User Experience group:
Designing a usable, efficient, effective, and ethical software means we need to understand our users’ needs and work practices. We do this by involving our users in the design process. 
This UX group is your way to be involved in improvements to the:
- HDP data collection platform; e.g. navigation, quality rules, reports,
- HESA website; e.g. coding manuals, support materials, training
Your commitment is whatever you are comfortable with. We won't contact you more than once every 3-4 weeks.</t>
  </si>
  <si>
    <t>Feed into development of staff return software, cotacted no more than once a month.</t>
  </si>
  <si>
    <t>HESA/Jisc</t>
  </si>
  <si>
    <t>low</t>
  </si>
  <si>
    <t>- ON HOLD - HDP are working on Student IMS dashboard first but Sarah has registered interest once they work on the Staff return IMS.
-25/4/2025  Sarah has joined professional Services channel
- 04/04/2025 Sarah has an invite via Teams to join some kind of HE Professional Services channel, which may be related? 
- 21/03/2025 Sarah signed up using the link sent
- 20/3/2025 Sarah responded to request for sign-up/Participants</t>
  </si>
  <si>
    <t>Assisting Continuing Education with tidy-up of c1400 casual appointments no longer in use.</t>
  </si>
  <si>
    <t>Appointments ended on PeopleXD</t>
  </si>
  <si>
    <t>Supporting the department by assisting in the closure of a large number of casual appointments</t>
  </si>
  <si>
    <t>More robust data quality in PeopleXD</t>
  </si>
  <si>
    <t>Continuing Education</t>
  </si>
  <si>
    <t>Henry</t>
  </si>
  <si>
    <t>-09/05/25 - Nik and Ant working through software option, Ant training Henry on manual process.
- 08/05/2025 - Ant &amp; Henry to commence manually closing appointments while bulk fix being investigated.
- 01/05/2025 - Ant met with Dept to discuss timing of closures (it would be better to reflect Last Date Paid and not prolong appointments unecessarily for HESA/Other reporting). Dept have agreed to this approach. Ant to review appointment closign process with Henry on Friday.
- Agreed to assist department with closure of a large number (c1400) casual appointments in PeopleXD after they reached out to Support. Ant and Henry to work on this around other tasks.</t>
  </si>
  <si>
    <t>- Ant &amp; Henry manually closing records
- Ant working with FA to investigate whether new functionality can assist with this task or not. So far it isn't working, Nik liaising with TAG.</t>
  </si>
  <si>
    <t>18_g</t>
  </si>
  <si>
    <t>7. Rationalise individual report pages and sections</t>
  </si>
  <si>
    <t>Rationalise individual report pages and sections</t>
  </si>
  <si>
    <t>Marie/Tonya</t>
  </si>
  <si>
    <t>14/05/2025 - Michelle advised no further activity on individual reporting pages due to workload, but previous prep work had taken place.
29/11/24 - Michelle has begun work on this, not a priority though.</t>
  </si>
  <si>
    <t>- Michelle has this as an objective but we also have the web migration and then we'll have to have a cleansing process so putting this on hold until it becomes a priority.
- Michelle to explore how she could break this into manageable pieces of work to continue progress</t>
  </si>
  <si>
    <t>CA111_2425</t>
  </si>
  <si>
    <t>HESA Provider Profile Contribution 24/25</t>
  </si>
  <si>
    <t>HESA Provider Profile Contribution in collaboration with PACS</t>
  </si>
  <si>
    <t>Supplement the HESA contract data with appointment attributes and strip out diversity data to provide to PACS for them to analyse and provide a return to the HESA Provider Profile https://www.hesa.ac.uk/collection/c22041/timescales</t>
  </si>
  <si>
    <t>14/03/25 - PACS have instructed us to kick this off.
Deadline set to 21st March - Sarah is on leave the following week and when she returns we will need to make sure the owner has time to sign off our contribution.</t>
  </si>
  <si>
    <t>- Athena to start work on this next week</t>
  </si>
  <si>
    <t>64_c</t>
  </si>
  <si>
    <t>Converting processes to Alteryx workflows</t>
  </si>
  <si>
    <t>Conversion of all R scripted derivation activities into Alteryx workflows to improve HESA processes</t>
  </si>
  <si>
    <t>Removal of 'single point of failure' risk for return, which has historically relied on the efforts of a single team-member due to the complexity of the existing processes. Converting Excel and R-based processes to Alteryx workflows will make it possible for any member of the HR Analytics team to run the processes, resulting in time and efficiency savings when delivering staff HESA return.</t>
  </si>
  <si>
    <t>Susan, David, Athena</t>
  </si>
  <si>
    <t xml:space="preserve">01/5/2025 - Susan has completed the Contract checks
25/4/2025 - Susan has completed the Person checks and is now working on the Contract checks
28/03/25 - Susan has 18 checks still to go.
29/01/2025 - Athena/Sarah met with David to discuss workflow handover (very impressed by David's work on this!). Agreed that this piece of work can be comfortably handed over to Susan to take forward.
10/01/2025 - David needs to hand over the HESA Completeness Checking  workflow to Sarah/Athena to free up his time to work on other priorities. 
06/09/24 - SQL changes have been done.
02/08/2024 - Ant picking remaining keying and any queries as Henry is A/L
19/07 - Henry now adding in the data which David's script matched. 05/07 - David nearly there with producing a list which can be input by Henry. CONFTE work ongoing and needs testing. Sarah working on the completeness checks.
28/06 - David has been tasked with reviewing AdvanceHE academic qualifications provision. David has been working on this piece.
Nathan has been working on moving the atypical confte calculations from R to alteryx.
21/06/2024 - David has been given the AdvanceHE teaching qualification list to compare to PXD data as a first step. SR working to identify which item-by-item derivations require conversion to Alteryx.
14/06/2024 - identified as a priority task for David Johnson under the remit of the Data Strategy Implemention Programme's reporting priorities. We need to decide next steps and which process to have David focus his time on first.
11/04/2024 - currently being undertaken as BAU, but limited resources impacting on delivery. We have started the process of migrating these codes across to Alteryx, but have identified that this is time-consuming having to review, refine and migrate. This impacts on the team who are required to deliver on other BAU/statutory work and also prevents them focusing on improving other workflows such as the delivery of payroll costing report.  </t>
  </si>
  <si>
    <t>- Sarah to use the workflow for the UOXU configuration testing</t>
  </si>
  <si>
    <t>CA114_2425</t>
  </si>
  <si>
    <t>PACS Infrastructure Charging report 2025</t>
  </si>
  <si>
    <t>PACS Infrastructure Charging report</t>
  </si>
  <si>
    <t>PACS</t>
  </si>
  <si>
    <t>90_b</t>
  </si>
  <si>
    <t>Make Internal Mobility Dashboard_v1 live and share with appropriate audience</t>
  </si>
  <si>
    <t>Amend version 1 of the Internal Mobility Dashboard to use data from the LIVE server of the Data Warehouse. Identify the appropriate audience for the dashboard and share in PowerBI app.</t>
  </si>
  <si>
    <t>Version 1 of the dashboard will refresh automatically using live data from the Data Warehouse. Users will be able to access Version 1 of the dashboard at will to view the data therein.</t>
  </si>
  <si>
    <t xml:space="preserve">24/10/25 - Athena has migrated all DIM tables and dashboard now ready for release.
10/10/25 - all LOV views have been promoted by DRAM to QA environment, and Athena has confirmed to Yunli that they are ready to promote to LIVE. AA to demonstrate dashboard to PLT next week (16th October) as part of launch of Internal Mobility Framework. 
29/09/25 - All LOV views now created in SILVER DEV environment, awaiting promotion to LIVE. 
19/09/25 - Athena creating LOV views in DWH to replace the "local" LOVs in PowerBI for things like Legal Sex, Disabilty Status, etc. This should significantly reduce the number of "orphaned records".
12/09/25 - David has repointed all objects to SILVER PROD! Athena has made all Laura's request changes
05/09/25 - David has been working on replacing the DIM tables with LOVs and has significantly reduced the number of 'orphaned records' in the dataset. There is a question about management units which have the value 'Not mapped' in the FACT_SIP data; Athena needs to investigate this to see what can be done with these records. Laura Porter has also requested some small cosmetic changes to the dashboard (in emails to Athena) before the socialisation of the dashboard commences.
01/09/25 - David has successfully repointed all the data tables to SILVER LIVE and is working through the DIM tables to replace manually-created DIMs with LOV views from the data warehouse wherever possible. There are bespoke columns in many of the DIM tables that were created to enable custom sorting of values. Athena to review with David to see how these columns might be added to the LOVs in the data warehouse, thereby making the DWH the single source of truth for the LOVs and eliminating the need to maintain bespoke table columns in PowerBI.
15/08/25 - David repointed to LIVE
18/07/25 - Issues with LIVE release now resolved. PowerBI report has been repointed to LIVE.
27/06/25 - Views promoted to LIVE but with issues. Presentation to Renu took place, alignining with launch of mobility principles
13/06/25 - buckets and reverse buckets are both done now.
09/05/25 - Dashboard v1 nearly ready, just buckets to go. SILVER view nearly ready.
25/04/25 - Athena has repointed FACT_SIP to data warehouse. Improvements have been worked on and we're nearly ready to demo the changes. SB has been working on data sets in SILVER.
04/04/25 - Athena to commence work on the requirements provided by Laura Porter next week. Simon has begun work on migrating all DWH views that underpin the dashboard into the SILVER database of the warehouse's medallion architecture. </t>
  </si>
  <si>
    <t>- Dashboard to be shared with phase 1 people w/c 27/10</t>
  </si>
  <si>
    <t>CA102_2425</t>
  </si>
  <si>
    <t>Annual Leave Year End Rollover 2025</t>
  </si>
  <si>
    <t>Julie, WFM project</t>
  </si>
  <si>
    <t>18/07/25 - Session with departments took place, follow up questions answered.
27/06/25 - Julie has begun work on this, engaging with WFM project</t>
  </si>
  <si>
    <t>- Year end rollover to be processed by Michael, completion date 6th October</t>
  </si>
  <si>
    <t>CA103_2425</t>
  </si>
  <si>
    <t>Update Payroll Calendars with 2026 dates</t>
  </si>
  <si>
    <t>FA</t>
  </si>
  <si>
    <t>Work complete as of 20th December</t>
  </si>
  <si>
    <t>CA104_2425_b</t>
  </si>
  <si>
    <t>Hierarchy Restructuring: August 25</t>
  </si>
  <si>
    <t>15/08/25 - Org Chart released this week
-Bodleaian have specifically requested support with restructure processing in PeopleXD.  Ant has confirmed that restructure automated tool can be used for this.</t>
  </si>
  <si>
    <t>- Config to be completed today
- May be some work needed using the migration tool</t>
  </si>
  <si>
    <t>CA105_b_2425</t>
  </si>
  <si>
    <t>HESA 25 module release, config and testing</t>
  </si>
  <si>
    <t>24/7/2025 - Testing completed in LIVE, work around for 5 incorrect HESA IDs (manual XML editing) agreed since AG have no system fix for this. Full generate run and triggers enabled to allow data to flow into module from People Management.
11/7/2025 - Config in LIVE underway and Lee working on substantive issue fix in UOXP
26/6/2025 - Config and testing in UOXU almost complete and ready to move to UOXP.
20/06/2025  Testing complete for Person attributes, Cntract attributes testing ongoing in UOXU.
13/06/25 - two cases open with AG via Nik
01/05/2025 - Sarah has completed configuration of new HESA Module in UOXU.
25/04/2025 - Sarah working on config of module in UOXU, Institution and Person complete; Contract in progress. Also working on new config for SALREF and SPOINT to enable changes due to OUW and other P&amp;C initiatives to be retuurned crrectly (this has included a new workflow for SALREF derivation because of the need to capture OUW for all those in receipt).</t>
  </si>
  <si>
    <t xml:space="preserve">- Sarah to report any further issues to Support on 11th Aug for escalation with AG
</t>
  </si>
  <si>
    <t>CA105_c_2425</t>
  </si>
  <si>
    <t>HESA 25 Communications Actions</t>
  </si>
  <si>
    <t>HESA Staff Return comms</t>
  </si>
  <si>
    <t>Michelle, Marie K</t>
  </si>
  <si>
    <t>15/08/25 - Comms is effectively done, update in bulletin this month and some thank yous going out soon. 27/06/25 - a number of departments have requested support.
13/06/25 - check in happened this week with updated stats being shared.
25/04/25 - Survey deadline today, two responses so far. 
04/04/2025 - Michelle has a check-in meeting scheduled with societies next week. Tailored comms for these departments went out this week to explain that their data will be returned in this year's HESA submission, so we are requesting them to engage with our data quality exercise. Details relating to other aspects of comms plan can be found in the dedicated comms plan at: (link to be provided by Simon)
21/03/25 - launch email sent out this week.
28/02/25 - Briefing took place on the 25th Feb. Nearly 200 people on the call.
17/01/25 - Comms plan being updated and followed</t>
  </si>
  <si>
    <t>CA105_d_2425</t>
  </si>
  <si>
    <t>HESA Staff Return 2024/25</t>
  </si>
  <si>
    <t>All</t>
  </si>
  <si>
    <t>See main HESA Project Plan for updates
18/11/2025 - VC sign off completed and sent
05/11/2025 - CREDIBLE - VC sign-off forms released by HESA
31/10/2025 - IMS queries resolved
10/10/2025 - All warnings resolved and data assurance completed. Sarah is planning to commit the XML file to the HESA website today.
03/10/25 - Sarah submitted to HESA 30th September
29/09/25 - Down to 10 errors. Sarah regenerating the XML and hopes to have a submittable file by close of play today!
12/09/25 - Down to 77k rows
05/08/2025 - Sarah Derived and loaded exclude indicator for unpaid casual contracts
Comms sent to departments with high error rates ahead of 08/08/2025 deadline.
24/7/2025 - Testing completed in LIVE, work around for 5 incorrect HESA IDs (manual XML editing) agreed since AG have no system fix for this. Full generate run and triggers enabled to allow data to flow into module from People Management.</t>
  </si>
  <si>
    <t>CA122_2425</t>
  </si>
  <si>
    <t>Professorial and Senior Professional Pay Survey</t>
  </si>
  <si>
    <t>Russell Group Salary Survey</t>
  </si>
  <si>
    <t>04/04/2025 - Survey submitted!
28/03/25 - Survey sent to Sarah K who only forwarded onto HRA team on 24th March. Data all collated by Ant and Henry.
28/02/25 - not received survey yet</t>
  </si>
  <si>
    <t>CA107_2425</t>
  </si>
  <si>
    <t>Mandatory Gender Pay Gap report 24/25</t>
  </si>
  <si>
    <t>Mandatory Gender Pay Gap reporting</t>
  </si>
  <si>
    <t>Calculate the annual values for the mean and median pay gaps between male and female staff at the University + OUP, for both ordinary and bonus pay, as laid out in the UK Government's statutory instrument.</t>
  </si>
  <si>
    <t>Alteryx / R</t>
  </si>
  <si>
    <t>25/07/25 - Susan completed workflow, hopes to get the final figures with Reward by Monday / Tuesday next week.
03/07/25 - Susan has completed manual adjustments investigation and is now taking forward the work of converting the R script to an Alteryx workflow, building on workflow Athena has built thus far. OUP data arrived on 30/06/25 and is ready to be rolled into the R script when required. 
27/06/25 Disaster averted. R code can be executed from local drive. Run up to manual adjustments.
13/06/25 R has happened. Disaster strikes. 
30/05/2025 - Data validation complete. Calculations can be run commencing next week.
29/05/2025 - Data validation in progress and R script updated for 2025. 
09/05/25 - Reports run, data validation to be done,.
25/04/25 - March extract taken, April extract due to be taken next week.
28/03/25 - Athena to extract the March payroll data today</t>
  </si>
  <si>
    <t>CA108_2425</t>
  </si>
  <si>
    <t>Financial statements 24/25</t>
  </si>
  <si>
    <t>\\connect.ox.ac.uk\ADMN\PS\Workforce Information Team\Financial Statements OFS\2023-24\DRAFT_Revised_FS_timeline.xlsx</t>
  </si>
  <si>
    <t>12/09/25 - All scripts run (High Earners, Ratios, and Script C - no deductions) and all files generated, including "auditor files" that show Deloitte the journey of any given Person-ApptID through the calculations. All files loaded into SharePoint site shared by Reward, Finance, and HRA, and Trish Pease has confirmed files loaded to Deloitte's online portal.
12/09/25 - Received confirmation of the final VC renumeration figures this morning.
05/09/25 - Athena has finished running Script A (£100k High Earners) and is investigating a single outlier before generating the £100K High Earners dataset
01/09/25 - Athena finalising manual adjustments; workflow has been adapted to reduce number of records to investigate down to 300 (out of 42,363). Aiming to run Script A to completion by end of week.
21/08/25 - Script A has been run to the point of manual adjustments.
08/08/25 - Athena has run extracts</t>
  </si>
  <si>
    <t>CA125_2425</t>
  </si>
  <si>
    <t>- May not need to provide input into this. Dependant on what is asked. Finance are the owners and will reach out if they need assistance.</t>
  </si>
  <si>
    <t>CA109_2425</t>
  </si>
  <si>
    <t>Brightmine / UCEA Salary Survey of Higher Education Staff 25</t>
  </si>
  <si>
    <t>XpertHR / UCEA Salary Survey of Higher Education Staff</t>
  </si>
  <si>
    <t>- Jarek approved surevy, MarieK to submit to Brightmine
'-Marie to send survey results to Jarek w/c 12th May'
- MarieK has started working on this survey incl building Alteryx workflow</t>
  </si>
  <si>
    <t>- MarieK to update process/SOP as required</t>
  </si>
  <si>
    <t>CA112_2425</t>
  </si>
  <si>
    <t>Year End Reporting/Annual staffing Figures 2024/25</t>
  </si>
  <si>
    <t>Tableau</t>
  </si>
  <si>
    <t>24/1/025 - DWH tables have now been updated and Susan has updated the SOP to include this step. 
10/10/25 - Susan confirms all YE datasets have been updated with 2025 data and all associated Tableau workbooks, Access databases and  Excel files have been updated/republished as appropriate. 
29/09/25 - Susan confirms the ConsolidatedTurnover DB has been updated with 2025 data. She's encountering a problem updating the MonthlyTurnover.hyper file used by the Resourcing Dashboard, and has booked a call (#11622762) out with IT  Services for assistance; awaiting callback from Desktop Services team. Working through the many dashboard refreshes and publications.
19/09/25 - Susan confirms that the 31 Jul 2025 validated SiP dataset has been created; the StaffingFiguresDATASET AccessDB has been updated;  the Multi-years Staffing Figures for Reporting dashboard has been refreshed;  the PSED Report has been updated; the FTC Monitoring dashboard has been refreshed – to be published once sense-checked by someone on the team; and the 2025 staffing data has been appended to Athena Swan output file – dashboard to be refreshed next week. 
12/09/25 - Susan has commenced year end processing.
05/09/25 - Susan working on Leavers derivations for HESA and Year-End; she will turn her attention fully to Year-End once Leavers are complete.
08/08/25 - Extracts done by team</t>
  </si>
  <si>
    <t>CA126_2425</t>
  </si>
  <si>
    <t>28/02/25 - Ant is ahead of schedule on this one.</t>
  </si>
  <si>
    <t>CA117_a_2425</t>
  </si>
  <si>
    <t>Athena SWAN and Race Equality Charter  2025 - Staff data refresh inc Leaver and Turnover information</t>
  </si>
  <si>
    <t>Athena SWAN and Race Equality Charter - Staff data refresh inc Leaver and Turnover information</t>
  </si>
  <si>
    <t>19/09/25 - Susan confirms that 2025 staff data has been appended to the Athena SWAN dataset; the dashboard is yet to be refreshed. 
12/09/25 - Susan has commenced year end processing.
05/09/2025 -  Susan working on Leavers derivations for HESA and Year-End; she will turn her attention fully to Year-End once Leavers are complete
01/09/2025 - Susan to commence work on year-end datasets, including Athena SWAN and REC, this week.</t>
  </si>
  <si>
    <t>- Susan to confirm once dashboard has been refreshed with 2025 data</t>
  </si>
  <si>
    <t>CA117_b_2425</t>
  </si>
  <si>
    <t>Athena SWAN and Race Equality Charter 2025 - Recruitment data refresh</t>
  </si>
  <si>
    <t>Athena SWAN and Race Equality Charter - Recruitment data refresh</t>
  </si>
  <si>
    <t>10/10/25 - Marie has refreshed AS Recruitment TEST workbook, will check and validate before refreshing live workbook.
19/09/25 - Marie has run all the necessary reports for YE recruitment data and begun processing the extracts through Alteryx. She is aiming to finish this next week.
12/09/25 - Marie working on this.</t>
  </si>
  <si>
    <t>- Marie to continue working through process</t>
  </si>
  <si>
    <t>CA117_d_2425</t>
  </si>
  <si>
    <t>Athena SWAN and Race Equality Charter 2025 - RoD data refresh</t>
  </si>
  <si>
    <t>Athena SWAN and Race Equality Charter - RoD data refresh</t>
  </si>
  <si>
    <t>24/10/25 - Dashboard published</t>
  </si>
  <si>
    <t>CA118_2425</t>
  </si>
  <si>
    <t>Complete 2025 Risk Assessments/Registers for statutory returns (Gender Pay and HESA Staff Return)</t>
  </si>
  <si>
    <t>Complete Risk Assessments/Registers for statutory returns (Gender Pay and HESA Return)</t>
  </si>
  <si>
    <t>Data Assurance Group</t>
  </si>
  <si>
    <t>Sarah - HESA
Athena - MGPGR</t>
  </si>
  <si>
    <t xml:space="preserve">28/05/2025 Final docs submitted to DAG
09/05/2025 - Sarah to share HESA drafts with MC
25/4/2025 - Drafts in progress
04/04/2025 - Next DAG meeting is scheduled for 11th June 2025, so final Risk Registers will be required by late May. </t>
  </si>
  <si>
    <t>CA119_2425</t>
  </si>
  <si>
    <t>Update Data Quality Policy for the Data Assurance Group (DAG) 2025</t>
  </si>
  <si>
    <t>Update Data Quality Policy for the Data Assurance Group (DAG)</t>
  </si>
  <si>
    <t xml:space="preserve">- 28/05/2025 Final docs submitted to DAG
- 08/05/2025 Review in progress
- 04/04/2025 - Sarah to check and confirm what is required for this year's DQ Policy update. </t>
  </si>
  <si>
    <t>Inclusion of Societies in HESA staff reurn and reporting outputs</t>
  </si>
  <si>
    <t>Engagement with departments in Societies to ensure they understand data quality processes required</t>
  </si>
  <si>
    <t>HESA Staff Return
General repoting of CMS employees including diversity dashbairds etc.</t>
  </si>
  <si>
    <t>Completeness
HESA/REF</t>
  </si>
  <si>
    <t>BC/HRA</t>
  </si>
  <si>
    <t>Tonya
SarahR
Michelle
MarieK</t>
  </si>
  <si>
    <t>21/03/25 - Athena published updated reports today.
28/02/25 - Sarah updated reports and passed to Michelle and Marie. Also done the HESA UDF updates
14/02/25 - included in DQ reports 
24/01/25 - Societies are in the DQ reports now.
17/1/2025 added to roadmap</t>
  </si>
  <si>
    <t>- Sarah to update population report updates (HRINFO29)</t>
  </si>
  <si>
    <t>CA120_2425</t>
  </si>
  <si>
    <t>Arts Council England (ACE) NPO Survey</t>
  </si>
  <si>
    <t>Museums</t>
  </si>
  <si>
    <t>- 05/06/2025 Survey submitted and SOP completed
-29/05/2025 Ant confirmed Alteryx workflow for the survey is complete and he is compiling the data, hoping to submit today or tomorrow.
- 09/05/2025 Ant starting work on this survey.
- deadline confirmed as 13/06/2025</t>
  </si>
  <si>
    <t>Provision of EDI data into Research and Innovation Committee (RIC)</t>
  </si>
  <si>
    <t>Provision of EDI data into RIC</t>
  </si>
  <si>
    <t>Senior Research Committee request with REF related benefits</t>
  </si>
  <si>
    <t>RIC</t>
  </si>
  <si>
    <t>28/02/25 - Nathan provided an update to Martin this morning</t>
  </si>
  <si>
    <t>- We believe that Nathan may have completed this.</t>
  </si>
  <si>
    <t>CA101_2425_c</t>
  </si>
  <si>
    <t xml:space="preserve">Neonatal care leave and pay </t>
  </si>
  <si>
    <t>System configuration required to support Neonatal care leave policy (part of the Payroll Year End process)</t>
  </si>
  <si>
    <t>04/04/2025 - Functionality has gone live today!
21/03/25 - Meeting this week, all ready to go on 6th April.
07/03/25 - Approval given by council
28/02/25 - approval received for reason and pay codes. All tested and ready for deployment.
24/01/25 - This is not going to need reporting on until April 2026, Captured by the report PERDEP20 Appointment Changes, should only require a new pay code in order to be able to identify it.</t>
  </si>
  <si>
    <t>CA117_b_2324</t>
  </si>
  <si>
    <t>Athena SWAN and Race Equality Charter 2024 - Recruitment data refresh (second refresh)</t>
  </si>
  <si>
    <t>- MarieK to refresh AS recruitment data for departmental AS dashboards</t>
  </si>
  <si>
    <t>NHS Pension and Visa Change</t>
  </si>
  <si>
    <t>Establish a process for NHS pensions to automatically deduct and cost the Visa Charge ERs payment.</t>
  </si>
  <si>
    <t>Payroll and Finance will not have to manually calculate the additional charge and costings to recharge departments for the additional visa change for NHS Pensions.</t>
  </si>
  <si>
    <t xml:space="preserve">04/04/2025 - KL has spoken to Tracy, who confirms the functionality to handle this is already embedded within PeopleXD and is handled via expenses? Closing this item.
- Awaiting confirmation on project details and next steps. </t>
  </si>
  <si>
    <t>Service Review</t>
  </si>
  <si>
    <t>HR Systems Function Service Review as part of Digital Transformation</t>
  </si>
  <si>
    <t>Understand the structure skills tool and processes of the team, the deliverables of the teams, current HR systems (and modules), ambitions challenges and readiness for transofmation</t>
  </si>
  <si>
    <t>PFST</t>
  </si>
  <si>
    <t>28/03/25 - Alan has completed the draft review and this is with Renu.
28/02/25 - Marie, Simon, Sarah, Kevin and Athena have all met with Alan.</t>
  </si>
  <si>
    <t xml:space="preserve">- Michael and Asta haven't met with Alan yet. </t>
  </si>
  <si>
    <t>CA121_2425</t>
  </si>
  <si>
    <t xml:space="preserve">UCEA Senior Staff Remuneration Survey </t>
  </si>
  <si>
    <t xml:space="preserve">27/11/2025 - MarieK working on producing the survey outputs and summary statistics for Reward
'12/11/2025 - MarieK to attended training and has set timeframes for survey review with Jasmin 3-9 Dec.
UCEA sent email invitation to pre-survey training session on 12 Nov, MarieK to attend webinar. </t>
  </si>
  <si>
    <t>- MarieK to complete survey
- Reward to approve survey output prior to submission</t>
  </si>
  <si>
    <t>80_b</t>
  </si>
  <si>
    <t>Line Manager Comms Pilot</t>
  </si>
  <si>
    <t>Feeding into the pilot of the Line Manager Communications project working group. Supporting with any data requirements which come from the working group and pilot departments, including reporting on management structures as held in PeopleXD.</t>
  </si>
  <si>
    <t>Short term:
· Improved manager confidence at line managing / leading (pilot surveys / staff survey data)
· Improved employee confidence at being line managed (pilot surveys / staff survey data)
· Reduced queries into departmental HR leads (pilot surveys)
Long term:
· Improved recruitment and retention (HR data)
· Improved exit interview data (HR data)
· Reduced casework (HR data)</t>
  </si>
  <si>
    <t>Anna Myers</t>
  </si>
  <si>
    <t>CA123_2425</t>
  </si>
  <si>
    <t>Survey of Clinical Academic Staffing Levels in UK Medical Schools</t>
  </si>
  <si>
    <t>- Ant working on survey
17/11/2025 -  MarieK handed survey over to Ant to complete with support
- MarieK has agreed with survey requestor that we will start this once HESA is signed-off (because the survey requires HESA data).</t>
  </si>
  <si>
    <t>- Survey output to Medical Sciences Divisional Office for approval</t>
  </si>
  <si>
    <t>CA124_2425</t>
  </si>
  <si>
    <t>Korn Ferry Pay Survey</t>
  </si>
  <si>
    <t>12/8/2025 - Ant submitted survey and updatd documentation
08/08/25 Ant finalising before providing to Reward Team
07/08/2025 - Ant finalising data for for Reward Team review
20/6/2025 - Ant is continuing work on the Alteryx workflow
- 06/06/2025 Ant has started work on this</t>
  </si>
  <si>
    <t>CA127_2425</t>
  </si>
  <si>
    <t>UCEA Intersectional Pay Gap in HE Survey</t>
  </si>
  <si>
    <t>MarieK</t>
  </si>
  <si>
    <t>- 04/09/25 - Ant submitted the survey today
-29/8/2025 MarieK working on survey responses. Susan has included disability information in the dataset.
- 21/8/2025 Susan refreshing dataset and dashboard with 2024 data.</t>
  </si>
  <si>
    <t>- Marie K to submit survey by COP Wednesday 3 September</t>
  </si>
  <si>
    <t>CA128_2425</t>
  </si>
  <si>
    <t>- Ant keying Humanities</t>
  </si>
  <si>
    <t>CA129_2425</t>
  </si>
  <si>
    <t>10/10/2025 - Susan refreshed the pivot tables created for LauraJ in 2024 with the 2025 data for staff. She then created all the necessary pivot tables for the PSED recruitment dataset (we did not do this in 2024), to save Laura the time and effort and allow her to focus on writing the Equality Report rather than the data analysis portion of work. 
29/09/2025 - MarieK has finalised the 2025 recruitment dataset for PSED and built an Alteryx workflow to cleanse and validate the data, which will simplify this process in future. She has provided the recruitment data to Susan, who will use it to produce the pivot tables required by Laura Jones before sending the data + pivots over to Laura for use in the annual Equality Report.
19/09/2025 - Susan has produced all PSED staff data for Laura Jones (EDU) and refreshed all the Excel pivot tables that Laura used last year with 2025 data. Laura has expressed her sincere appreciation, and will come back to us with any additional updates she may require (which can be handled as BAU, not needed for the roadmap).
18/09/2025 - MarieK is working on the Recruitmetn data refresh</t>
  </si>
  <si>
    <t>-Susan to produce recruitment dataset pivot tables and send to Laura Jones</t>
  </si>
  <si>
    <t>Develop standard UDF for recording Fellowship information for REF</t>
  </si>
  <si>
    <t>development and implement UDF</t>
  </si>
  <si>
    <t>Creation of UDF for recording fellowship information to support REF2029 Code of Practice (eligibility determination).</t>
  </si>
  <si>
    <t>Supporting REF Code of Practice development &amp; HESA Staff Return item (REFQUALCON)</t>
  </si>
  <si>
    <t>FA - TBC</t>
  </si>
  <si>
    <t>- Approved given from RS, Nathan sent request to FA team
- Nathan sent draft UDF for RS approval, on receipt will pass to FA for implementation</t>
  </si>
  <si>
    <t>- Grace picked up UDF creation
- Once created, request to go to DRAM/DSIP to pull data into DWH
- Build a view on the table</t>
  </si>
  <si>
    <t>152_a</t>
  </si>
  <si>
    <t>Professional Services modelling/metrics</t>
  </si>
  <si>
    <t>- Phase 1 - initial figures for paper</t>
  </si>
  <si>
    <t>Support PACS with grouping of staff for professional services modelling including future use of Datawarehouse for currently v. manual process inherited from SUMS.</t>
  </si>
  <si>
    <t>More robust/better understood dataset for modelling</t>
  </si>
  <si>
    <t>- Sarah sent files to AW 10th April completing the first phase of this piece of work. Future work = new task?
- Following meeting 1/4/2025 Sarah to produce initial figures for Cmte paper aligning payroll data (costs) with P&amp;S groupings SEE DEADLINE.'
- 04/04/2025 Chris Goodland in PACS attempting to recreate Pay Costings Report to identify PIs. We're unsure why Finance are doing this.  
- Meeting 1/4/2025 with PACS and DWHS team: urgent requirement for figures within the next 2 weeks, Sarah to work on this and also to link with PACS/DWHS team for med/long term improvements and iterations to costing internally funded P&amp;S staff using definitions in HRI-1678.
- Sarah had initial meeting with Milda who outlined areas where HRA support/input requested.
- Sarah ro review the matrix that Milda sends through.</t>
  </si>
  <si>
    <t xml:space="preserve">
'- Longer term goal - interative improvements and based on payroll (PCR?) data in DWHS to augment Milda's existing dashboards with costings data
- meeting TBA with Milda/Ewan et al to discuss where DWHS is with PCR. </t>
  </si>
  <si>
    <t>152_b</t>
  </si>
  <si>
    <t>Phase 2 - Review of population coding and impact of changes for AW approval</t>
  </si>
  <si>
    <t>06/08/2025 - Sarah sent refreshed dataset to Milda using July Payroll.
26/06/2025 Sarah provided latest version of dataset and grouping logic to Milda.
- 20/06/2025 Committee feedback incorporated, datasources currently in use provided to Milda. Meeting with DRAM to kick off work towards dashboard based on DWHS, Milda to consolidate requirements. Sarah and Milda continue to work on the grouping logic for staff ready for AW sign-off.
- 12/06/2025 - Sarah to work with Milda &amp; PACS (potentially Finance) to review SUMS groupings used for the Review analysis and to incrporate feedback from the committee, updated workflow with additional logic and shared latest dataset with Milda.
- Sarah to update workflow with feedback for  mtg 20250612, sprint ends 20250620.
- Sarah re-running method (after updates) and reviewing with Milda 20250508
- Met with Milda on 20250424 and agreed changes to population coding, Sarah to re-run data to establish impact of changes and automated coding so Milda can present to Antony.
- Sarah waiting on Milda's return to review staff groupings used by SUMS</t>
  </si>
  <si>
    <t>152_c</t>
  </si>
  <si>
    <t>- Phase 3 - into DWHS and iterate existing dashboards with costing info</t>
  </si>
  <si>
    <t>Support PACS with grouping of staff for professional services modelling - moving the data set into the Datawarehouse and incorporating Stephen Conway's new requirements</t>
  </si>
  <si>
    <t>Appropriate datasets available within the data warehouse for PACS to utilise when building a regularly refreshed and easily analysed dashboard</t>
  </si>
  <si>
    <t xml:space="preserve">03/10/25 DRAM fixed the issue with de-duplicated payroll rows, SB tested in LIVE on 2nd October.
30/09/25 - Appointment dataset is complete, with Milda for UAT. Payroll dataset in testing.
15/08/25 - New schema set up. Progress has been made on payroll dataset and year end dataset
25/07/25 - Milda has shared requirements, Sarah has also provided background on how data is derived in current process. Simon has created a master payroll data table.
04/07/25 - kick off meeting with Jim today to discuss the approach. </t>
  </si>
  <si>
    <t>Monitoring impact of PXD mobile app on equality data.</t>
  </si>
  <si>
    <t>Establish baseline figures for equality data and completeness rates and monitor over time.</t>
  </si>
  <si>
    <t>Sarah/Athena</t>
  </si>
  <si>
    <t>- Athena has compared the the October dataset to the April dataset to evaluate the potential impact of the PXD mobile app on EDI data completeness rates. Results sent to HR Systems Management Team suggest that mobile app is less a driver of data completion than improved onboarding processes (52% of new starters completed their EDI data, compared to just 3% of existing staff who were in post at the time the mobile app was launched).
- Sarah created ad hoc (HRI-2551) to capture intial extract and in readiness for later extracts and further analysis of impact of mobile app.</t>
  </si>
  <si>
    <t>-calculation of baseline figures
- Athena to run another extract on 10/10/25 and run an Alteryx workflow to compare the two extracts and determine any improvements in data completion rates for personal information.</t>
  </si>
  <si>
    <t>CA132_2425</t>
  </si>
  <si>
    <t>Staffing Figures People Committee Paper 2024/25</t>
  </si>
  <si>
    <t>03/02/26 - Sarah drafted the paper and sent for review
29/01/26 - Request to produce paper came in
28/11/25 - Phil and Marie have proposed a combined staffing and resourcing paper for people committee. Marie confirmed to put this on hold until we get a steer on what's required.
14/11/2025 - Sarah awaiting confirmation that this paper is still required</t>
  </si>
  <si>
    <t>Creation of new posts for Continuing Education</t>
  </si>
  <si>
    <t>Creation of c150 new posts fror Continuing Education</t>
  </si>
  <si>
    <t>Supporting dept and DQ</t>
  </si>
  <si>
    <t>Ant, Henry</t>
  </si>
  <si>
    <t>- 05/06/2025 Ant training Henry in how to do this
- Sarah agreed to support, Ant and Henry to work on this once the casual appointments have been closed.</t>
  </si>
  <si>
    <t>- Posts and planned appointments  for June, July and Sept created, remaining 7 posts for October.
- Ant checking for other availability of any resources to assist in Reward.</t>
  </si>
  <si>
    <t>Add Supporting Technicians link to Talent module</t>
  </si>
  <si>
    <t>Add a link for Supporting Technicians at Oxford to the Talent module's Useful Links section</t>
  </si>
  <si>
    <t>Requested by the RDM Career Development Committee as this will help support technicians in their career at Oxford</t>
  </si>
  <si>
    <t>POD / RDM</t>
  </si>
  <si>
    <t>Ilona</t>
  </si>
  <si>
    <t>13/06/25 - Request made by Ilona, picked up by Asta.
03/06/25 - Marie Cooksey, Julie Rees, Jennifer Allen and Rachel Bray consulted and approved this request to be explored.</t>
  </si>
  <si>
    <t>- Asta to progress via change route</t>
  </si>
  <si>
    <t>Volunteering Leave project</t>
  </si>
  <si>
    <t xml:space="preserve"> Initiative aims to offer staff a defined allowance of paid or unpaid leave to participate in volunteering activities. </t>
  </si>
  <si>
    <t>Pay &amp; Conditions</t>
  </si>
  <si>
    <t xml:space="preserve">04/06/25) - Low departmental interest → delaying launch
Matt Thomas (coordinating interest across departments) collected feedback and reported that too few areas had expressed a clear need. Because of that low uptake, the planned “go-live” date has been pushed back until more departments commit to the scheme. Awaiting confirmation from Matt. John Clegg was asked to coordinate with Julie to ensure that, once the policy is ready, there’s appropriate content on the website. </t>
  </si>
  <si>
    <t>158_a</t>
  </si>
  <si>
    <t>Migration of R code into Alteryx</t>
  </si>
  <si>
    <t>Mandatory Gender Pay Gap</t>
  </si>
  <si>
    <t>Migration of existing R scripts for calculating the annual Gender Pay Gap mean and median figures into an Alteryx workflow</t>
  </si>
  <si>
    <t>Ability to continue to deliver the mandatory gender pay gap if R stops working</t>
  </si>
  <si>
    <t>HR Systems Team</t>
  </si>
  <si>
    <t>25/07/25 - Susan has completed the work on workflow
02/07/25 - Susan has completed the manual adjustments and altered the Alteryx workflow to reduce the amount of manual investigation required for the dataset in future years. Athena has passed responsibility for converting the R script to Alteryx to Susan (at Susan's request!) and will continue to work closely with Susan to validate the results of the workflow, with the aim to have the 2024/25 dataset produced out of Alteryx rather than R. 
27/06/25 - R and Alteryx outputs match up to manual adjustments</t>
  </si>
  <si>
    <t>158_b</t>
  </si>
  <si>
    <t>Financial Statements</t>
  </si>
  <si>
    <t>Migration of existing R scripts for calculating the pay ratios and high earners values for the annual Financial Statements into Alteryx workflows</t>
  </si>
  <si>
    <t>Ability to continue to deliver the Financial Statements if R stops working</t>
  </si>
  <si>
    <t>Susan, Sarah</t>
  </si>
  <si>
    <t>30/01/26 - Migration from R to Alteryx is complete, Alteryx script for auditors looks at R outputs so will need repointing to Alteryx outputs. Also SOP needs writing, but migration is DONE!
23/01/26 - Athena is 200 rows away from the end of the R script
15/01/26 - All sums now matching between R and Alteryx for the £100k High Earners script. Athena now working on the calculation of the high earners' list.
12/12/25 - Athena continuing comparison of Alteryx workflow vs R Script A: £100k HIgh Earners, to ensure that all sums match between datasets. Once confirmed that all sums match between R and Alteryx, improvements can be made to the Alteryx workflow (these have been flagged in Comment boxes within the workflow wherever AA has noticed that  the script could be made more rigorous). 
28/11/25 - Athena completed manual adjustments portions, and matches R script
31/10/25 - Athena continuing work on Main Pay process, at the point of evaluating scaled allowances.
13/10/25 - Casual Pay process fully converted to Alteryx; Athena commencing work on Main Pay process.
03/07/25 - R can be run provided the script is held in a local (not a network) drive, however it is very important to convert the script to an Alteryx workflow to reduce the manual interventions required in the FinStats process, add greater resilience to the process as a whole (anyone in HRA can run Alteryx workflows and they are easy to troubleshoot and amend), and ease the workload on the team at the busiest time of year. 
13/06/25 - if R can't be fixed would need code in Alteryx by 8th August to allow sufficient time for FinStats to be processed.</t>
  </si>
  <si>
    <t>Restructure of Uehiro Oxford Institute</t>
  </si>
  <si>
    <t>Move from Philosophy to directly under Humanities</t>
  </si>
  <si>
    <t>Move from Philosophy to directl under Humanities</t>
  </si>
  <si>
    <t>Uehiro</t>
  </si>
  <si>
    <t>FA?</t>
  </si>
  <si>
    <t>- Work completed in time for payroll deadline
- Ant confirmed with dept that this is required w.e.f 1st July</t>
  </si>
  <si>
    <t>Request for new "Super User" access for Jonathan Roger</t>
  </si>
  <si>
    <t>A new super user role for Jonathan Roger to enable him to administer shift patterns, workgroups and manager access without raising an OSM request</t>
  </si>
  <si>
    <t>HR Director</t>
  </si>
  <si>
    <t>Asta / Simon / Marie C</t>
  </si>
  <si>
    <t>27/06/25 - Asta has established how to assign shifts and workgroup admin access and has nearly prepared the menu profile for updating manager access which will be rolled out on Monday</t>
  </si>
  <si>
    <t>Update Talent Management reports (My Development)</t>
  </si>
  <si>
    <t>Request from Marie to take forward some amendments to the talent management reports to include some missing data</t>
  </si>
  <si>
    <t>Talent Management report users</t>
  </si>
  <si>
    <t>06/01/26 - Kevin confirmed that this work was completed 25th November 2025.
14/11/25 - Meeting with AG - Alan taken away changes, hasn't been able to make changes to the view, needs to speak to developer.
29/10/25 - Chase email sent to Alan Quirke 
24/10/25 - Kevin met with Alan
10/10/2025 - Kevin has had email from Alan Quirke to discuss changes to the Insight report
30/09/25 - Quote request with AG for flexpoints for amending insight report 25/09
08/08/25 - Asta has reviewed the request
27/06/25 - Marie has asked Ilona to take forward some improvements to the reports</t>
  </si>
  <si>
    <t>Add Internal Mobility Principles information to online applicant portal pages and ESS guidance website</t>
  </si>
  <si>
    <t xml:space="preserve">Request from Laura Porter to add information relating the internal mobility principles to the website, as part of an engagement campaign. </t>
  </si>
  <si>
    <t>Drive awareness of and engagement with the mobility principles when existing staff are exploring vacancies within professional services. (Principles do not apply to academic and research roles)
Signpost the principles in a prominent way that ‘locks/hard codes’ a reference into key webpages – to avoid admin burden/reliance on customisation of job ads and descriptions.</t>
  </si>
  <si>
    <t>Laura Porter</t>
  </si>
  <si>
    <t>BC?</t>
  </si>
  <si>
    <t>12/08/25 - recieved links and a few minor tweaks from Laura.
08/08/25 - waiting on Laura to send link to add
25/07/25 - Kevin met with Laura to fully understand requirements. Simon carried out light touch training with Kevin
02/07/25 - Simon met with Laura to discuss possibilities and agree on the deliverables. Laura has confirmed that Phil Taylor has authorised the updates being requested. An initial outline of requirements has been put together and passed to Kevin to take forward.</t>
  </si>
  <si>
    <t>- This is ready to be released on 31st October</t>
  </si>
  <si>
    <t>P&amp;C_7b</t>
  </si>
  <si>
    <t>7b - Review of ALC6 and Grade 10 (professional serices roles)</t>
  </si>
  <si>
    <t>Investigation and any subsequent implementation following review.</t>
  </si>
  <si>
    <t xml:space="preserve">Saranga Sri-Nammuni </t>
  </si>
  <si>
    <t>06/02/26 - Athena and Susan have provided some information to support follwoing people committee
11/07/2025 - Sarah met with Saranga, matt and Helen to open discussions about the upcoming review of ALC6 and grade 10. Project in intial investigative phase, timeline into 2026, earliest potential implementation late HT26. Sarah provided LU file from Korn Ferry surveys to assist in investigative stage and requested as much notice as possible of proposed changes to allow for systems input and testing.</t>
  </si>
  <si>
    <t xml:space="preserve">- Support and advce as requested relating to data updates </t>
  </si>
  <si>
    <t>Non-Clinical Pay Uplift 2025 [164]</t>
  </si>
  <si>
    <t xml:space="preserve">Kevin
MarieK
</t>
  </si>
  <si>
    <t>29/08/2025 - Allowance live and assigned to appropriate people. Guidance and supporting documentation to be reviewed and updated to support ongoing maintenance of allowances
15/08/25 - Tracy confirmed all testing complete 
07/08/2025 - Athena sent uplift files to FA for testing in UOXC after MarieK checked file.
17/07/2025 - Sarah downloaded UCEA comms files with new values</t>
  </si>
  <si>
    <t>- Issue with dataload/AG script for bulk load of allowances still with AG. Lee monitoring.</t>
  </si>
  <si>
    <t>Clinical Pay Uplift 2025 [165]</t>
  </si>
  <si>
    <t>Implementation of the Nationally agreed clinical pay uplift</t>
  </si>
  <si>
    <t xml:space="preserve">Kevin
Susan
</t>
  </si>
  <si>
    <t>15/08/25 - Testing completed 
01/8/2025 - Athena completed costings, finiance approved and now to PRAC
25/07/25 - Config in UOXC, minor change required to one of the grades. Files reproduced.; Athena shared uplift files with FA
15/07/2025 - Athena began inputting new clinical rates into master workbook. Reformat of workbook was required to improve clarity of the information presented and consistency in how rates are calculated in different areas of the workbook.
09/07/2025 - Sarah downloaded UCEA comms files with new values</t>
  </si>
  <si>
    <t>- Michael to release to LIVE when August payroll completed</t>
  </si>
  <si>
    <t>CA123_2526</t>
  </si>
  <si>
    <t>November</t>
  </si>
  <si>
    <t>- Survey sent by MSD. Chase MSD to find out if we're doing this one.</t>
  </si>
  <si>
    <t>CA122_2526</t>
  </si>
  <si>
    <t>previously Russell Group Salary</t>
  </si>
  <si>
    <t>March</t>
  </si>
  <si>
    <t>Produce JSON format upload file for college-only data REF submission</t>
  </si>
  <si>
    <t>Turn data provided by research Services into a JSON formatted upload file using Alteryx</t>
  </si>
  <si>
    <t>REF submission test run</t>
  </si>
  <si>
    <t>Research Excellence Framework</t>
  </si>
  <si>
    <t>03/12/25 -  Still awaiting college data from Research Services.
21/11/25 - Additional testing using sample data from Research Services
05/09/25 - Nathan has complete POC using Alteryx</t>
  </si>
  <si>
    <t xml:space="preserve"> Awaiting actual data from Research Services who are experiences challenges getting data from all colleges.</t>
  </si>
  <si>
    <t>Migration of web pages to OxIntranet</t>
  </si>
  <si>
    <t>Migration of web pages to "My Oxford"/ OxIntranet sharepoint sites</t>
  </si>
  <si>
    <t>Set up in intranet for Oxford users</t>
  </si>
  <si>
    <t>Jo Mason</t>
  </si>
  <si>
    <t>Ant / Henry / others</t>
  </si>
  <si>
    <t>Website</t>
  </si>
  <si>
    <t>20/02/26 - Now live
04/02/26 - Aiming to go live on 17th Feb. UAT 11th and 12th Feb. 
12/12/25 -  Sarah has volunteered Ant Kong to work with Michelle on the HR Analytics webpage migration onto the intranet. Potential intranet go-live slated for 16th Jan 2026. 
24/10/25 - Training booked for w/c 27/10 - Julie and Chris attending, Michelle will be trained upon her return.
October to December</t>
  </si>
  <si>
    <t>Cont Ed Pay Protection Pay Code</t>
  </si>
  <si>
    <t>Creation of a new allowance for pay protection for cont ed casuals moving to VH</t>
  </si>
  <si>
    <t>Melissa Harris</t>
  </si>
  <si>
    <t>31/10/25 - Implemented on 27/10/25  
24/10/25 - Pay code set up and tested.</t>
  </si>
  <si>
    <t>- Will be launched w/c 27th October.</t>
  </si>
  <si>
    <t>Cority data in DWH</t>
  </si>
  <si>
    <t>Migration of data from the Occupational Health System (Cority) into the University Data Warehouse</t>
  </si>
  <si>
    <t xml:space="preserve">Supports People Strategy deliverable Outcome 1: Capability to support H&amp;S dashboard development. Ability to report on cross domain information from H&amp;S and People systems. </t>
  </si>
  <si>
    <t>Safety Executive Group</t>
  </si>
  <si>
    <t>James</t>
  </si>
  <si>
    <t>24/10/25 - James fixed the issue with the report and DRAM have now got all data loads working as expected.
24/10/25 - SB worked with DRAM to establish environment strategy and implement solution to DEV, TEST and QA.
10/10/25 - James has tested data in TEST and Simon has confirmed environment strategy for H&amp;S data, although conversations are still ongoing about how to implement this in practice. 
03/10/25 - Naming convention corrected, James given access to SSMS and access to the PeopleHR data. 
30/09/25 - DRAM have pulled information into DEV and TEST, Simon and James testing currently.</t>
  </si>
  <si>
    <t>- Simon to request new schemas and AD group for H&amp;S DWH access.</t>
  </si>
  <si>
    <t>CA121_2526</t>
  </si>
  <si>
    <t>Timing for 2025/26 TBC</t>
  </si>
  <si>
    <t>DKIM Email Migration</t>
  </si>
  <si>
    <t>Migration of PeopleXD email server from BT relay to Access Group servers and implementation of higher security level on emails sent.</t>
  </si>
  <si>
    <t>Tighter security control over emails, improved smap score rating, potentially other benefits such as increasing the number of emails that can be sent at one time.</t>
  </si>
  <si>
    <t>Information Security</t>
  </si>
  <si>
    <t>IT Strategic Priority</t>
  </si>
  <si>
    <t>13/02/26 - implemented on 6th February
14/11/25 - New ticket reopened (initial ticket closed with no resolution) and passed to a senior member to resolve.
24/10/25 - Kevin spoke to Mike</t>
  </si>
  <si>
    <t>CA120_2526</t>
  </si>
  <si>
    <t>Marie K to ask Total Reward Team to confirm the deadline</t>
  </si>
  <si>
    <t>CA119_2526</t>
  </si>
  <si>
    <t>174_a</t>
  </si>
  <si>
    <t>Health &amp; Safety dashboards</t>
  </si>
  <si>
    <t>Build of the compliance dashboard</t>
  </si>
  <si>
    <t xml:space="preserve">Development of a compliance dashboard as part of a suite of dashboards to support the analysis of  Health &amp; Safety data </t>
  </si>
  <si>
    <t>Simon, James, Chris</t>
  </si>
  <si>
    <r>
      <t xml:space="preserve">11/12/25 - Agreed at board that this would be looked at by the Enterprise Team
12/12/25 - David has obtained a clear steer from H&amp;S regarding incident reporting and the specification of 6 KPIs to be included in the dashboard. 
24/10/25 - David has access to the training courses database. Met with Simon and Marie to plan next steps. 
10/10/25 - David has requested access to </t>
    </r>
    <r>
      <rPr>
        <b/>
        <sz val="11"/>
        <color theme="1"/>
        <rFont val="Calibri"/>
        <family val="2"/>
        <scheme val="minor"/>
      </rPr>
      <t>training_courses</t>
    </r>
    <r>
      <rPr>
        <sz val="11"/>
        <color theme="1"/>
        <rFont val="Calibri"/>
        <family val="2"/>
        <scheme val="minor"/>
      </rPr>
      <t xml:space="preserve"> database in DWH, to enable initial analysis of completion rates/uptake of H&amp;S training across the University. Marie has suggested this as an initial dashboard, so that David has a deliverable he can focus on whilst the data import from Cority is underway. 
Historic information:
06/06/25 - Marie met with Jim re costs for implementation of APIs. No budget available until 26/27. 
04/04/25 - MarieC to meet with DSIP board on Monday. Chris Sanders has been working on requirements for this dashboard and discussing with Simon what needs to be pulled into the DWH. David is being asked to build up a prototype dashboard using spreadsheets rather than DWH data; there is concern that DSIP is under such pressure to produce outputs that the team is losing focus on building up the data warehouse. 
28/03/25 - information received from all suppliers now.
14/03/25 - HR Systems met with DSIP to discuss requirements.
We have a deadline of end Jun/early July to provide this dashboard – is this feasible?</t>
    </r>
  </si>
  <si>
    <t xml:space="preserve"> - Athena and Simon to raise requests to gain access to training_courses DB so that we can support David as required</t>
  </si>
  <si>
    <t>CA118_2526</t>
  </si>
  <si>
    <t>Complete 2026 Risk Assessments/Registers for statutory returns (Gender Pay and HESA Staff Return)</t>
  </si>
  <si>
    <t xml:space="preserve"> Risk Assessments and Registers due to be presented to DAG in TT26.</t>
  </si>
  <si>
    <t>OrgVue PACS dataset</t>
  </si>
  <si>
    <t>Update OrgVue with the PACS Professional Services dashboard data</t>
  </si>
  <si>
    <t>Use for professional services review</t>
  </si>
  <si>
    <t>Stephen Conway</t>
  </si>
  <si>
    <t>Simon, Athena</t>
  </si>
  <si>
    <t>Professional Services Programme</t>
  </si>
  <si>
    <t>07/11/2025 - Athena has uploaded data for 2021-2025 into OrgVue and met with OrgVue rep Ritika Sonam to discuss data queries ahead of demo.
28/10/25 - Athena Simon and Nathan have established the scripts and process required to create a PACS dataset in OrgVue.</t>
  </si>
  <si>
    <t>- 31/10 meeting with Alex Bush to confirm what questions would need to be answered.
- 3rd or 7th November to meet with OrgVue
- 13/11/25 presentation by OrgVue to Stephen</t>
  </si>
  <si>
    <t>CA117_d_2526</t>
  </si>
  <si>
    <t>mid November</t>
  </si>
  <si>
    <t>- May not be required if enough progress is made towards replacing tableau workbooks</t>
  </si>
  <si>
    <t>Planning</t>
  </si>
  <si>
    <t>CA117_b_2526</t>
  </si>
  <si>
    <t>September to October</t>
  </si>
  <si>
    <t>CA117_a_2526</t>
  </si>
  <si>
    <t>September</t>
  </si>
  <si>
    <t>CA113_2526</t>
  </si>
  <si>
    <t>CA112_2526</t>
  </si>
  <si>
    <t>Year End Reporting/Annual staffing Figures</t>
  </si>
  <si>
    <t>CA111_2526</t>
  </si>
  <si>
    <t>HESA Provider Profile Contribution</t>
  </si>
  <si>
    <t>- Athena to nudge Anna Gilbert and John Parkhill (PACS) for deadline</t>
  </si>
  <si>
    <t>CA109_2526</t>
  </si>
  <si>
    <t>Brightmine / UCEA Salary Survey of Higher Education Staff 2025/26</t>
  </si>
  <si>
    <t>- NOTE: Janina was planning on recommending to Sarah C. that we do not resubmit this survey given that the subscription was not paid for the full report and only the free report was provided to us. CONFIRM required before starting any work.</t>
  </si>
  <si>
    <t>CA108_2526</t>
  </si>
  <si>
    <t>CA107_2526</t>
  </si>
  <si>
    <t>Mandatory Gender Pay Gap report</t>
  </si>
  <si>
    <t>Report run in March and April, and then analysis done May - July</t>
  </si>
  <si>
    <t>CA105_d_2526</t>
  </si>
  <si>
    <t>HESA Staff Return 2025/26</t>
  </si>
  <si>
    <t>Includes any consultation outcome required for 2025/26 return (i.e. STAFF ID process)</t>
  </si>
  <si>
    <t>20/03/26 - Logic document for AG to tidy up levels UDF written by Sarah and passed to Michael. AG haven't given us a quote.
20/02/26 - Lessons learned incorporated into CS improvement plan
21/11/2025 - Requirements analysis folder set-up for this year's changes, Configuration Design Document for 2025/26 created, project management SOPs shared with HRS leadership for feedback.
4/11/2025 - Sarah set-up clockfy project and tasks for 2025/26 return</t>
  </si>
  <si>
    <t>CA105_c</t>
  </si>
  <si>
    <t>HESA Communications Actions</t>
  </si>
  <si>
    <t>BC, HRA</t>
  </si>
  <si>
    <t>27/02/26 - HESA briefing took place 26/02
20/02/26 - Michelle putting together draft presentation
23/01/26 - Got an outline plan for HESA session, draft to HAFs complete</t>
  </si>
  <si>
    <t>- Further meeting to be set up after the main briefing</t>
  </si>
  <si>
    <t>CA105_b</t>
  </si>
  <si>
    <t>13/02/26 - SB asked AG CSM for timescales for HESA release this year.</t>
  </si>
  <si>
    <t>- AG to confirm timescales for release</t>
  </si>
  <si>
    <t>CA105_a</t>
  </si>
  <si>
    <t>HESA Project Planning</t>
  </si>
  <si>
    <t>Feb - draft project plan created for 2025/26</t>
  </si>
  <si>
    <t>CA104_2526</t>
  </si>
  <si>
    <t>Hierarchy Restructuring</t>
  </si>
  <si>
    <t>August update</t>
  </si>
  <si>
    <t>Entra ID groups</t>
  </si>
  <si>
    <t xml:space="preserve">Determine the different audiences who may require access to current and future dashboards - will need to be clearly defined groups of individuals, eg HAFs/HODs, divisional registrars, Reward, EDU, etc.  </t>
  </si>
  <si>
    <t xml:space="preserve">Will enable rapid sharing of published dashboards with selected audiences; individuals will inherit permissions from the group to which they are assigned. Enables easier management of access permissions at a bulk level as well. </t>
  </si>
  <si>
    <t>Simon, Sarah, Athena, Kevin, Nathan, Chris (H&amp;S)</t>
  </si>
  <si>
    <t xml:space="preserve">Data Warehouse, PowerBI? </t>
  </si>
  <si>
    <t>22/12/2025 - Identity Improvement Programme (IIP) Team has invited people to start submitting requests for the creation of Entra ID groups via a Microsoft Form. 
18/12/2025 - HR Sys Management Team met to brainstorm potential Entra ID group candidates and decided on a "top 5" list of audiences which will require formal definition and creation. We're making the assumption for the committees that the secretary will be the main point of contact for IDM. The group agreed are: 
Council
People Committee
Safety Executive Group
Consultative Committee for Health &amp; Safety
People Senior Leadership Group
Marie will send the list of our top 5 to Alex Gray in DSIP/Data Office, as he is the person who requested this information. He will share with IDM. 
12/12/2025 - Initial discussion in Roadmap meeting about the need to begin defining discrete groups of individuals who comprise "audiences" with whom we can share PowerBI dashboards. These groups will need to be created as Entra ID Groups by the Identity Management Programme/Project, so we will need to link in with that project group to discuss when we have some initial audiences to set up.</t>
  </si>
  <si>
    <t xml:space="preserve">- MarieC is checking whether there is a template for submitting proposed Entra ID groups to  IdM. </t>
  </si>
  <si>
    <t>CA103_2526</t>
  </si>
  <si>
    <t>CA102_2526</t>
  </si>
  <si>
    <t>Annual Leave Year End Rollover 2026</t>
  </si>
  <si>
    <t>FA, BC. Tr</t>
  </si>
  <si>
    <t>CA101_2526</t>
  </si>
  <si>
    <t>Payroll Year End</t>
  </si>
  <si>
    <t>- All tested, codes set up and verified and communicated in test environment. 
- RTI submission been processed, hoping to push into live after March payroll completed.
- Had a kick off meeting, planner populated, Tracy moving payrolls into the right month in UOXZ
- We are unable to be an early adopter this year due to HMRC providing late notification to software suppliers of the changes</t>
  </si>
  <si>
    <t>- Ready for go live on 26th March</t>
  </si>
  <si>
    <t>90_c</t>
  </si>
  <si>
    <t>Review of phase 1 &amp; 2</t>
  </si>
  <si>
    <t>Review feedback from phases 1 &amp; 2, plan out future development phases and agree the ongoing security / sharing model</t>
  </si>
  <si>
    <t>This will be the final phase of the internal mobility dashboard. Exact scope and benefits will be established as part of the review.</t>
  </si>
  <si>
    <t>Simon, MarieC</t>
  </si>
  <si>
    <t>06/01/26 - Agreed with Laura Porter that no more requests for early adopter access as part of phase 2 will be accepted after 16th January where all HR staff will be given access. We will gather feedback until Easter and then review any further changes required to the dashboard. We will also agree on the sharing model and will need to decide if this is a dashboard we open access to anyone internally to access via SSO.</t>
  </si>
  <si>
    <t>January update</t>
  </si>
  <si>
    <t>13/02/26 - Kevin met with Katherine Corr. 
06/02/26 - Ant processed 1st round of changes.
30/01/26 - Ant working on the restructure this week and next
23/01/26 - FA config completed.
16/01/26 - Only one significant move to process</t>
  </si>
  <si>
    <t>174_b</t>
  </si>
  <si>
    <t xml:space="preserve">Phase 1 - Occupational Health dashboard </t>
  </si>
  <si>
    <t xml:space="preserve">Development of an Occupational Health dashboard as part of a suite of dashboards to support the analysis of  Health &amp; Safety data </t>
  </si>
  <si>
    <t>20/03/26 - Presented to SEG / Council and agreed next steps.
27/02/26 - Socialising phase is in progress.
20/02/26 - Meeting arranged with OH to discuss socialisation of the dashboard 
23/01/26 Presented dashboard to SNSG (Safety Network Steering Group) on 12/01/26
28/11/25 - Chris has set up feedback sessions with H&amp;S team</t>
  </si>
  <si>
    <t>- Move onto Lucasz' project - release to specific people and the project to take it forward.</t>
  </si>
  <si>
    <t>148_c</t>
  </si>
  <si>
    <t>Dry run of the UCEA Sickness Absence Survey</t>
  </si>
  <si>
    <t>Dry run of producing the UCEA Sickness Absence Survey based on data held in PeopleXD. Potentially also a dry run using data submitted external to PeopleXD.</t>
  </si>
  <si>
    <t>Will allow the team to prepare for the go live event, will allow a process and SOPs to be prepared, and lessons to be learned ahead of the live process.</t>
  </si>
  <si>
    <t>Athena / Sarah</t>
  </si>
  <si>
    <t>20/03/26 - Sickness data and incidents of sickness datasets in QA and LIVE now.
27/02/26 - Sarah created a new view to support the survey
30/01/26 - Sickness Absence base data view has been built in the DWH.
23/01/26 - Technical meeting took place</t>
  </si>
  <si>
    <t>- Sarah is going to get further clarification on how we return hours lost, as we can calculate accurately for PXD users but not non-PXD departments.
- Sarah to start working on  PowerBI</t>
  </si>
  <si>
    <t>148_b</t>
  </si>
  <si>
    <t>UCEA Sickness Absence Survey 25-26</t>
  </si>
  <si>
    <t>Collation of sickness absence data from across the University for the 25-26 sickness absence survey. May also allow us to create a benchmarked sickness absence dashboard once UCEA publish the results in March 2027</t>
  </si>
  <si>
    <t>Markos / Wellbeing</t>
  </si>
  <si>
    <t>Simon, Michelle, Chris, Athena, Sarah</t>
  </si>
  <si>
    <t>06/02/26 - WFM project had confirmation of how to map historic sickness absence data
24/10/25 - Kick off briefing delivered with Markos' support 
10/10/25 - Markos will deliver a briefing on this survey at the HR Systems Briefing on 16/10. 
22/07/25 - working group discussed the focus for the upcoming reporting year is to prepare departments to allow the survey to be submitted in 2025/26.</t>
  </si>
  <si>
    <t>- Business Change activities underway and will be followed through
- Dry run of process in January 26</t>
  </si>
  <si>
    <t>143_b</t>
  </si>
  <si>
    <t>Migration of Resourcing Dashboard to the Data Warehouse</t>
  </si>
  <si>
    <t>Recruitment monitoring dashboard</t>
  </si>
  <si>
    <t>Migration of Resourcing Dashboard to the Data Warehouse and into a PowerBI dashboard</t>
  </si>
  <si>
    <t>Reduced requirement to manually refresh dashboards, future proofs the dashboard, opportunity to standardise dashboard approach with internal mobility dashboard, enables future 'talent resourcing' dashboarding to include internal mobility with other resourcing data</t>
  </si>
  <si>
    <t>Phil Taylor / Renu Gupta</t>
  </si>
  <si>
    <t>Simon, Athena, David</t>
  </si>
  <si>
    <t>13/03/26 - Michelle pulling together user stories from Machilu and Phil Taylor
27/02/26 - Chris and Marie C met with Machilu van Bever Donker to define requirements
13/02/26 - Marie pulling together a list of metrix which align with the CIPD employee lifecycle. Paper going to People Committee asking what data they would like to see in the Employee Lifecycle paper / staffing paper.
14/11/25 - Michelle and Marie have met with Phil to establish high level user stories. 
10/10/25 - Simon, Marie and Athena have discussed initial steps and agreed we'll want to work closely with Business Change to start gathering high-level requirements for a redesign of the data provision. Turnover will be removed from redesigned provision and created as a standalone dashboard. Business Change (Chris/Michelle) have some annual leave in October, so no initial meeting till November. 
08/08/25 - Objective set for Susan, we need to review the dashboard rather than migrate like for like. Turnover could be its own dashboard rather than integrated with the Recruitment data.
03/07/25 - Athena and Susan met to discuss next steps and timeframes for delivery.
28/02/25 - Meeting earlier this week, Susan has a template to work through to map out the current data extracts, discussed the overlap with DSIP deliverable for AP Diversity Dashboard.</t>
  </si>
  <si>
    <t>- Michelle to complete requirements document to pass over to the HRA team
- Development of datasets to begin
- Due to gather user stories from Sue Morris, Pete Stanton and a couple of divisional HR contacts.</t>
  </si>
  <si>
    <t>143_a</t>
  </si>
  <si>
    <t>Turnover and Retention monitoring dashboard</t>
  </si>
  <si>
    <t>06/03/26 - Susan has been working through requirements based on Chris' requirements document
27/02/26 - Athena and Susan discussed requirements. 
13/02/26 - Chris has pulled together the requirements for the turnover dashboard and passed to Susan
28/01/2026 - Athena has split out the Turnover/Retention aspect of the Resourcing Dashboard into a separate deliverable for the overall migration of the Resourcing Dashboard dataset/functionality into PowerBI. We may need to consider what user stories should be gathered for the Turnover dataset prior to Susan beginning work.</t>
  </si>
  <si>
    <t>- Susan to develop dashboard</t>
  </si>
  <si>
    <t>103_a</t>
  </si>
  <si>
    <t>Optimising  year-end processes</t>
  </si>
  <si>
    <t>Staffing Figures</t>
  </si>
  <si>
    <t xml:space="preserve">Improved timeliness of delivery of year-end workforce reporting to support committee reporting. Reduced workload on the HRA team at the busiest time of year (year-end coincides with the HESA return). </t>
  </si>
  <si>
    <t>06/03/26 - Putting on hold for now, descoping until we have time to roadmap this properly.
03/07/2025 - Athena building a dedicated 'year-end' view for Staff in Post in the data warehouse, currently in SILVER DEV with view name PRDW_FACT_CMS_PERSON_APPOINTMENTS_AT_REPORTING_YEAR_END. The idea is that this view forms the base population for all the HRA team's annual year-end SIP outputs, including Athena Swan, PSED, and the multi-years SIP data for Staffing Figures.
12/07/24 - Some work under this umbrella has been undertaken by Athena and Nathan. Might need to become a focussed item for next year. Need to understand the current pain points and analyse.</t>
  </si>
  <si>
    <t>- Athena to look at year end views of person and contract data to see if these answer the purpose</t>
  </si>
  <si>
    <t>CA114_2526</t>
  </si>
  <si>
    <t>15/01/2026 - Susan has liaised with PACS to confirm their requirements for this year's report and is planning to run the Alteryx workflow that generates the dataset tomorrow, 16/1.</t>
  </si>
  <si>
    <t xml:space="preserve"> - Susan to run workflow and provide dataset to PACS</t>
  </si>
  <si>
    <t>TUPE Transfer process improvements</t>
  </si>
  <si>
    <t>Revise the existing TUPE Transfer process to capture all info required by HR Systems and Payroll upfront and to automatically log TUPE Transfer requests in a central location for tracking and auditing.</t>
  </si>
  <si>
    <t>Streamline requests process
Clearer path for TUPE transfer requests for users, with ability to track/audit in SharePoint rather than Excel spreadsheets
Ensures all relevant and necessary details for such requests are captured upfront</t>
  </si>
  <si>
    <t>06/03/26 - Ant met with Michelle to discuss process
20/02/2026 - Athena sent an email to Michelle and Ant outlining the current process issues and asking them to work together to engage with Payroll and the HRBPs to elicit requirements for an improved TUPE Transfer process. Athena and Ant have discussed replacing existing Word document and Excel log with a Microsoft Form that automatically logs requests in a SharePoint list. This may not be the most appropriate solution however, depending on feedback from the business about how they would prefer to improve the existing process.</t>
  </si>
  <si>
    <t>- Ant to create process workflow diagram for Michelle</t>
  </si>
  <si>
    <t>Amend WFM Reports to fix substantive and workgroup issues</t>
  </si>
  <si>
    <t>Users will be able to view all employees in the WFM reports
HR Systems will no longer need to maintain security by workgroup</t>
  </si>
  <si>
    <t>Leave and Attendance users, First Line Support, Security Admin</t>
  </si>
  <si>
    <t>FA, BC</t>
  </si>
  <si>
    <t>HR Reporting</t>
  </si>
  <si>
    <t>06/03/26 - Released to live and communicated this week
27/02/26 - Reported have been tested successfully. 
20/02/26 - SB built new versions of the reports, Michael, Asta and Kevin have tested, further amendments have been deployed to deal with defects</t>
  </si>
  <si>
    <t>CA117_c_2526</t>
  </si>
  <si>
    <t>20/02/26 - Susan actually finished this on 12th. 
06/02/26 - Susan has begun working on this. Competed paternity, inc additional, and ShPP</t>
  </si>
  <si>
    <t>Rollout of automatic carry over for annual leave</t>
  </si>
  <si>
    <t>Offer departments the option of automatically rolling over unused annual leave into a new annual leave year</t>
  </si>
  <si>
    <t>Reduced administration time for departmental HR Admins, automatic correct balance carry over for employees.</t>
  </si>
  <si>
    <t>FA, BC, Tr</t>
  </si>
  <si>
    <t>- Meeting set up with Tracy B-B on 23rd March</t>
  </si>
  <si>
    <t>Sickness Absence Dashboard</t>
  </si>
  <si>
    <t>Creation of an institutional sickness absence summary dashboard</t>
  </si>
  <si>
    <t>Provides oversight of institutional sickness absence for the first time</t>
  </si>
  <si>
    <t>People Department</t>
  </si>
  <si>
    <t>22/01/26 - Sarah Athena and Simon met to discuss the structure of the data</t>
  </si>
  <si>
    <t>-SB to begin to build a proof of concept analysis dataset based on day values</t>
  </si>
  <si>
    <t>REF Self Service Dashboard</t>
  </si>
  <si>
    <t>Create a REF Population Self Service Dashboard to allow  easy sharing and analysis of data with REF Divisional Project Managers as part of the REF preparation</t>
  </si>
  <si>
    <t>Providing a self service option for REF Divisional Project Managers to view REF data in year ahead of any submission to HESA</t>
  </si>
  <si>
    <t>Simon, Sarah</t>
  </si>
  <si>
    <t>13/03/26 - Nathan has made tweaks to the dashboard and it is technically ready.
06/03/26 - Chris, Ant and Henry have been testing
27/02/26 - Chris and Ant have checked the dashboard and Nathan has incorporated the feedback. 
20/02/26 - Nathan demo'd the dashboard to Divisional REF Leads, Marie C and in the team meeting.
23/01/26 - Nathan has begun work on the security matrix and has done some work on the dashboard.
12/01/2026 - Nathan met with Simon and Sarah to discuss next steps. Simon shared template with Nathan.</t>
  </si>
  <si>
    <t>Salary and Allowance Data in DWH</t>
  </si>
  <si>
    <t>Develop a set of Salary and Allowance datasets in the Data Warehouse for the Total Reward Team to use in PowerBI</t>
  </si>
  <si>
    <t>This will allow the Total Reward team to create financial modelling dashboards in PowerBI utilising current data held in the data warehouse without a reliance on the HRA team to generate datasets for them.</t>
  </si>
  <si>
    <t>Total Reward</t>
  </si>
  <si>
    <t>07/01/26 - DRAM have hopefully pulled in all of the data we will need to calculate expected allowance values for staff pre-payroll in the warehouse.</t>
  </si>
  <si>
    <t>- Going to wait for Jasmin to approach us for this data again, currently she is just having to work around it due to the volume of work.</t>
  </si>
  <si>
    <t>Migration of HR Reporting Users to SSO</t>
  </si>
  <si>
    <t xml:space="preserve">Migration of authentication accounts from connect ad accounts to SSO accounts for the HR Reporting Tool. </t>
  </si>
  <si>
    <t xml:space="preserve">User experience improvements - users will no longer need to know the login details for a different connect account, they will be able to use their Oxford SSO account details to log into HR Reporting. </t>
  </si>
  <si>
    <t>27/02/26 - Richard Jessett has shared a list of desktop users. Asta sent the list of users we'd like to trial migrating to SSO over to the project team.
03/02/26 - Active Portal has been updated to allow us to set up SSO accounts for HR Reporting now. Users can now be migrated across to SSO, Sadiq Abbasi will help migrate the desktop over to SSO. Will be able to see the connect account but it will be marked as "migrated" until everyone has been migrated.
02/12/25 - Meeting with John Jones and Richard Jessett to outline the background of the IT project to migrate people away from connect accounts onto using SSO accounts. Managed desktop users will need to migrate to using SSO to get into their desktops and then they will use their SSO account to get into HR reporting automatically instead of using a connect account behind the scenes. Other users can just use SSO details as soon as we migrate their accounts into the right groups. We can dual run for as long as we want and IT will support us with mass migration of accounts.</t>
  </si>
  <si>
    <t>- Project team with desktop services to migrate test users over.
- Will eventually need to update user guidance, account provisioning process, first line support documentation etc and do communications.
- Some additional config required to migrate everyone else off connect. Richard Jessett to keep us updated on this but is likely to be a few months away (03/02/26).</t>
  </si>
  <si>
    <t>HESA Staff Consultation Outcomes</t>
  </si>
  <si>
    <t>Analysis of changes to the Staff return for implementation AFTER 2025/26 return.</t>
  </si>
  <si>
    <t>20/03/26 - Sarah's consolidated spreadsheets. JISC have sent through notes from the meeting. Access Group confirmed they are involved in the consultation but review the meeting recordings rather than attend them directly.
20/02/26 - Got funding to assist, paper to be prepared to outline impact of the changes, due in April</t>
  </si>
  <si>
    <t xml:space="preserve">- Sarah and Michelle to set up sharepoint site
- Sarah to update changes for each year as they come in. Spreadsheet to be complete by the end of April.
- SB to review notes of the meeting including responses to the questions raised. We will then need to raise concerns with legal or info compliance to make sure we're covered for the 2027/28 year </t>
  </si>
  <si>
    <t>ER Case Management Reporting</t>
  </si>
  <si>
    <t>Rollout of ER Case Management to Departments</t>
  </si>
  <si>
    <t>- Get a good understanding of the security model within ER Case Management System</t>
  </si>
  <si>
    <t>Workforce Profile Dashboard</t>
  </si>
  <si>
    <t>Creation of a staffing figures dashboard which surfaces common staffing questions relating to the active staff population</t>
  </si>
  <si>
    <t>Allows an at a glance view of the staff population at Oxford, reducing the reliance on snapshot data, reducing ad hoc reporting requests and will allow senior managers to quickly answer common queries to help planning decisions</t>
  </si>
  <si>
    <t>Markos &amp; Renu</t>
  </si>
  <si>
    <t>06/03/26 - Dashboard ready to go, need consideration of communications and engagement
27/02/26 - Marie King peer reviewed the dashboard and Susan has incorporated all of the feedback. Athena has updated DIM tables with sort orders.
30/01/26 - Susan has completed technical deveopment, handed to Michelle for business readiness and UAT. Also shared with Marie King for peer review.
12/12/25 - Susan has provided rough draft of dashboard to Sarah, Athena, Simon for initial feedback, planning to demo prototype dash to MarieC next week before Christmas break. Sarah has provided detailed feedback.
26/11/25 - Athena has updated the template with DIM tables and will meet with Susan to explain how they work for consistent branding and sort order etc. 
10/10/25 - there has been additional interest in the mock-up dashboard and HR Systems will be taking forward the development of this mock-up into a formal dashboard in the coming months. User stories need to be gathered, business change will need to be engaged, etc.  
02/10/25 - A mock up dashboard was produced for Richard McDonald and Kye Maddox to support queries around software licence renewals.</t>
  </si>
  <si>
    <t>- Michelle to create comms and engagement plan. We want to get the engagement right on this one.
- Elena McPhilbin has shared some users who could help UAT the dashboard.
- Marie meeting with Renu and Markos about the dashboards</t>
  </si>
  <si>
    <t>Redevelopment of Athena Swan Dashboard</t>
  </si>
  <si>
    <t>Redesign of the existing Tableau provisions for Athena Swan staff and recruitment data to better meet the needs of the business, through the creation of PowerBI dashboards based on Data Warehouse views.</t>
  </si>
  <si>
    <t>Reduced requirement to manually refresh dashboards, future proofs the dashboard, opportunity to standardise dashboard approach with other HR Systems dashboards (branding, look &amp; feel, functionality). Will give users the ability to self-serve up-to-date information from PeopleXD, filtered by whatever date parameters they require, such that back-dated corrections to PXD data are visible in the Athena Swan staff and recruitment datasets. This will build users' trust in our data and enable them to provide more accurate information in their annual applications for the Athena Swan charter-mark.</t>
  </si>
  <si>
    <t>Athena Swan users</t>
  </si>
  <si>
    <r>
      <t xml:space="preserve">09/10/2025 - Athena and Simon discussed initial steps required to commence work of redeveloping Athena Swan data provision. </t>
    </r>
    <r>
      <rPr>
        <b/>
        <sz val="11"/>
        <color rgb="FF000000"/>
        <rFont val="Calibri"/>
        <family val="2"/>
      </rPr>
      <t xml:space="preserve">Agreed that Version 1 of any dashboard(s) developed will only cover staff in post, turnover, and recruitment data. Additional Athena Swan datasets for Recognition of Distinction reporting and parental leave (maternity/paternity/shared parental leave) will be handled in a future version, i.e. NOT by the 2026 deadline for Version 1. </t>
    </r>
    <r>
      <rPr>
        <sz val="11"/>
        <color rgb="FF000000"/>
        <rFont val="Calibri"/>
        <family val="2"/>
      </rPr>
      <t xml:space="preserve"> 
08/10/2025 - Athena discussed proposal to redesign Athena Swan data provision with Marie Cooksey, Lettitia Derrington, and the Athena Swan coordinators (Amy Hinks, Machilu van Bever Donker, Catherine Goodwin, and Hannah Mungovan). </t>
    </r>
  </si>
  <si>
    <t>- Athena to work with Business Change Team to gather high-level requirements for Athena Swan staff and recruitment data dashboards.
- Athena to confirm with AS coordinators that RoD and parental leave reporting will not be included in initial redesign of AS provision, and to discuss how we might continue to provide RoD and parental leave datasets in the meantime</t>
  </si>
  <si>
    <t>HEIDI Plus user reporting</t>
  </si>
  <si>
    <t>Development of a PowerBI dashboard to check HEIDI plus registrations against staff in post.</t>
  </si>
  <si>
    <t>Will allow for a more automated method of reporting on HEIDI plus licenses</t>
  </si>
  <si>
    <t>30/01/26 - Katherine Corr completed some UAT and came back with some additional questions, she proposed tracking Appointment ID as well, SB responded with some further questions clatifying requirements and has built v3 of the dashboard which may meet requirements now. Haven't heard from Kathryn since early December so SB chased again today. 
26/11/25 - Katherine Corr has provided a spreadsheet on sharepoint in the right format. SB has repointed the report to the sharepoint location and updated all of the visualisations. Created an App and shared with Katherine for UAT.
19/11/25 - Chased Katherine again today. She was exploring a power automate solution to keep the spreadsheet updated.</t>
  </si>
  <si>
    <t>- Simon to call Katherine to talk through the dashboard build and process for adding new users
- Katherine to carry out UAT
- Katherine and SB to work out access arrangements
- SB / MW to create an instructions page ahead of formal release.</t>
  </si>
  <si>
    <t>HESA Returnables Report (HRINFO29) in DWH</t>
  </si>
  <si>
    <t>Development of the HRINFO29 HESA Returnables report into the Data Warehouse and PowerBI</t>
  </si>
  <si>
    <t>This will speed up HESA completeness checks as the reports will run faster, improving the efficiency of processing the HESA return. DWH view will also provide an audit trail of all staff records, indicating which ones are excluded from a given year's HESA return, and the reason for the exclusion.</t>
  </si>
  <si>
    <t>20/03/26 - Sarah adding some additional fields into the DEV environment. Chris has fed back on business readiness
27/02/26 - Sarah has added the additional fields to the dataset
20/02/26 - Sarah published v1 of the dashboard
30/01/26 - Sarah has been diverted onto staffing figures paper for people committee but is close to completing this work. 
23/01/26 - Sarah created two new views and updated attributes. Views are in QA now.
12/12/25 - Sarah nearly finished with testing of DWH query vs HRINFO29 Returnables export, only a handful of discrepancies remaining in UOXC! 
27/11/25 - Sarah continuing with testing of population and refinements to population view and HESA indicator syntax
21/11/25 - Sarah applied refinement to view to include casuals and continuing with testing of previous fixes applied and dashboard report creation
14/11/25 - Sarah applied fix to issue identified in August, Simon created new view combining CMS and non-CMS staff as base for reporting.
15/08/25 - DRAM released latest version into LIVE
08/08/25 - Devepment of the HESA Ind updated and requested to be pushed to LIVE
07/08/25 - Sarah made updates to HESA population indicator and requested promotion to QA/Live
18/07/25 - Sarah and Simon have created DWH views and a PowerBI dashboard in DEV
04/04/25 - Simon has modified views based on Sarah's feedback
28/03/25 - Sarah drafted an ad-hoc view in DEV with HESA returnables derivation.
14/03/25 - Sarah has worked through the requirements</t>
  </si>
  <si>
    <t>PeopleXD Data Protection Impact Assessment</t>
  </si>
  <si>
    <t>Creation of a Data Protection Impact Assessment (DPIA) for PeopleXD</t>
  </si>
  <si>
    <t>DPIAs were introduced after all of the major PeopleXD projects completed so one has never been done. To align with the Universities compliance expectations we are to complete an assessment</t>
  </si>
  <si>
    <t>Marie Cooksey</t>
  </si>
  <si>
    <t>06/03/26 - Kevin and Simon reviewed DPIA in 121
27/02/26 - Kevin has shared the document with SB
14/11/25 - Feedback received, substantial updates required.
24/10/24 - Chase email sent to Ruzha Toneva 
24/10/25 - Kevin has compared WFM DPIA with HR Systems DPIA.
25/09/25 - DPIA has been submitted to Ruzha and we're waiting for feedback
18/09/25 - Kevin working with Ruzha in information compliance 
04/04/25 - Kevin has provided details of DPIA in handover workspace for Simon to pick up whilst he's on leave. KL now 50% of way through document!
29/03/25 - Kevin around 30% of the way through the document. Focussing on getting the information available.
https://compliance.admin.ox.ac.uk/data-protection-by-design</t>
  </si>
  <si>
    <t>- Kevin has some tweaks and further people to talk to, plus a review of the PeopleXD factsheet
- Once tweaks done will share with Marie C</t>
  </si>
  <si>
    <t>VC letter, certificate and celebration for retirees</t>
  </si>
  <si>
    <t>Supporting the process for VC letter, certificate and celebration for retirees</t>
  </si>
  <si>
    <t>The VC will be able to know who is due to retire with qualifying length of service to receive a letter, certificate and a celebration when they retire.</t>
  </si>
  <si>
    <t>The VC Office / Beth Botwright</t>
  </si>
  <si>
    <t>Marie/Simon</t>
  </si>
  <si>
    <t>27/02/26 - VC dashboard has been formally shared with the policy team who can now use this to extract the data on retirees whenever they need it. Policy to work with VCs office to check the quality of the data before any data is used.
28/01/26 - Kathryn Fairhurst Jones has completed data checking and has raised a number of questions with the dataset. She has contacted Beth and Callie in VCs office with questions and a suggestion for another meeting.
12/12/25 - Marie has met with Callie Kanim this week - Callie had raised concerns re: GDPR and MC met with Data Protection to confirm the actual risk proposed by this dataset; MC was able to reassure Callie that Data Protection consider this dataset very low risk. 
02/10/25 - Meeting held with Callie Kanim, Susanne Sheffield, Kathryn Fairhurst Jones and Anita Paterson. There has been overlap established with AOUP and Callie has been doing a lot of work around consent and how data is fed and stored for contact preferences and details. She has some further actions to undertake before we re-convene. SB shared where the dashboard is at and some disclaimers around data quality and limitations of the data we hold. Offered to continue to improve the dashboard after release if necessary. 
30/09/25 - SB has completed dashboard build, and reached out to VCs office to request a meeting.
01/09/25 - Dashboard ready for use in LIVE now
15/08/25 - Julie &amp; Chris have reviewed dashboard
08/08/25 - Dashboard is published to LIVE
25/07/25 - V1 of the dashboard is ready to be deployed.
27/06/25 - views have been promoted to UOXP but with issues following testing.
13/06/25 - Simon has built continuous service and retiree views in DWH SILVER DEV. VCs office have confirmed requirements.
14/02/25 - Data and questiond have been provided to VCs office
29/01/25 - Athena, Simon, and MarieC have clarified with Pensions team how they receive notification of intent to retire (something called an "Advanced Notification of Retirement" form that departments submit to the Pensions administrator for the relevant scheme). Not all retirees submit an ANR to Pensions; some go directly to the provider (e.g. USS), so Pensions team doesn't always have notice of intent to retire. MC/AA/SB currently mapping out a process to cross-reference and verify people's ANR forms with a monthly list of leavers from PeopleXD whose leaving reason = "Retirement". Verified retirees will be confirmed for the VC Office to communicate with.</t>
  </si>
  <si>
    <t>FTC Monitoring by person Dashboard</t>
  </si>
  <si>
    <t>Provide users with the ability to monitor their staff on fixed-term contracts in real-time, identifying staff who have been employed on FTCs for longer than 3 years (these may need to be made 'permanent/open-ended'), as well as staff whose FTCs are due to expire in the near future.</t>
  </si>
  <si>
    <t>Departmental HR, HAFs</t>
  </si>
  <si>
    <t xml:space="preserve">27/02/26 - Data from financials system has been incorporated into the dashboard now. 
20/02/26 - Now have access to Finance Data with Claire D'Mellow signing off access to management team in HR Systems
05/12/25 - Lucy confirmed that we can proceed with User Acceptance Testing with the working group now. Simon has published an "Operational HR Insights" app for this to be available in.
28/11/25 - Update meeting with Lucy Taylor and Policy Team. Lucy is leaving in three weeks and her replacement may be a little while down the line. The updated policy has been drafted but not reviewed and scrutinised so this is the next step for Kate Butler. There was due to be an implementation plan where timelines are set for how long the university needs to implement this and review any staff who have missed the check points, but Policy have questionned this as that aspect of the policy should have been in place anyway so departments have already had the chance to meet the checkpoints. A decision is required as to whether an implementation plan is required and if it is how it's decided upon. People Committee have also raised concerns about the financial impact with the change in financial landscape. Kathryn F-J is completing financial modelling for Dawn so this could change the focus of the deliverable slightly as well.
30/09/25 - Update from Lucy Taylor: We now know we are working towards the 3rd December PCOB meeting, which makes the paper deadline 12th November. As this initiative sits in LOD, Laura will need to approve these plans. Unclear if the approach needs to go via SLG or consultation with user group etc.
01/09/25 - Policy needs rewriting so deadline for this dashboard has been pushed back indefinitely (at this stage). UAT will take place once we have a clearer idea on timelines for policy re-write.
25/07/25 - Dashboard v1 developed and waiting for UAT.
18/07/25 - Data now in SILVER LIVE, dashboard repointed. All CMS contracts table added. DRAM have also pulled in UDF data into DEV. Simon shared security proposal with Jim, Jim presented to DSIP board as the preferred method for security in University
27/06/25 - SB has entered all of the requirements as user stories into Wrike. Simon also ran through security with HR Systems managers
20/06/25 - Grace has set up two UDFs in UOXC, Simon has loaded some test data to them. Request has gone to DRAM to get these UDFs set up to support P&amp;C13. Finance have given some initial thoughts on the sensitivity of the project details that we're allowed to put into a dashboard. Simon has raised a request to DSIP to access the finance data.
28/05/25 - First draft of the dashboard has been built and presented to the FTC user group. Feedback was extremely positive. Engagement has begun with Finance around signing off access to projects data to support cost allocation data already in the dashboard. Grace has been updated and will take on further UDF updates. 04/04/2025 - SB and Lucy Taylor (project delivery manager for Pay &amp; Conditions) met with MPLS this week to gather requirements from this division as a starting point for dashboard development. SB/AA/SR met with Lucy Taylor and Jamie Newman to discuss the Finance data required to support the FTC Monitoring by Person dashboard. A new FTC UDF has been proposed to enable a regular review of FTCs who have been employed on fixed-term contracts for 4+ years and record review outcomes.
17/01/25 - Dataset is built
28/11/2024 - AA and SB met with the DRAM team on 27th Nov and asked for their assistance with importing the security views from the PXD database into the Data Warehouse, with a view to establishing row-level security within the DWH (possibly just for this FTC Monitoring data in the immediate term). </t>
  </si>
  <si>
    <t>Data Quality Dashboard</t>
  </si>
  <si>
    <t>Phase 1 - replicating internal visualisations</t>
  </si>
  <si>
    <t xml:space="preserve">Creation of dashboards providing monthly snapshots of the number of eligible staff and the data quality errors against those appointments. </t>
  </si>
  <si>
    <t>Will highlight the state of data quality across departments and divisions and will allow benchmarking comparisons with other sections of the University with the ultimate aim of increasing transparancy in the data and improving the quality of our data.</t>
  </si>
  <si>
    <t>27/02/26 - Version 1 of the dashboard has been drafted
20/06/25 - Plenty of issues found and resolved in both HRINFO01 report and DWH equivalent. Issue remaining caused by a table field length issue preventing updates going throuugh to QA.
28/03/25 - Data sets are built in DHW DEV environment. 
14/03/25 - Review completed for HRINFO01 updates and consolidated and optimised logic. Derivations have been created, stored procedure for Person entitly and updated Appointment entity have been created. Work has started on a DQ checks view for HRINFO01</t>
  </si>
  <si>
    <t>- SB to set up a meeting with SR and MC to talk about which tabs we want to publish and which we want to hide for internal use only.
- MK to do some checking of data quality
- MW / CS to complete business readiness
- Athena to pass HRINFO20 code to SB when complete so he can start the casual data quality work (may need to push into phase 2)</t>
  </si>
  <si>
    <t>Applicant cleardown</t>
  </si>
  <si>
    <t>Nightly cleardown of applicants will ensure compliance with GDPR, database size will be under control, some reports will run more quickly.</t>
  </si>
  <si>
    <t>HR Systems, Recruitment, SIT</t>
  </si>
  <si>
    <t>Tonya, Athena, DRAM</t>
  </si>
  <si>
    <t>REF Substantive link dataset</t>
  </si>
  <si>
    <t>Provision of a gold layer dataset for continuous service in research appointments to support the substantive link output of REF 2029</t>
  </si>
  <si>
    <t xml:space="preserve">Having sight of the dates for which employees (linked by SSO) held eligible research roles within the University will allow REF teams to be linked to publication data to determine whether or not an output can be included and has a corresponding University of Oxford staff member on an appropriate contract that was an author. </t>
  </si>
  <si>
    <t>REF</t>
  </si>
  <si>
    <t xml:space="preserve">20/03/26 - Nathan reviewed options with Martin and Nick from RS and an approach has been decided upon.
06/03/26 - Nathan has met with Martin Carrolchick to understand the requirements from a research services point of view. Nathan has translated that into requirements from an HR data point of view and developed an initial dataset. Nathan approached Simon to discuss optimising the data warehouse capabilities and Simon has developed a draft script to calculate continuous "research at more than 0.2 FTE" appointment history. </t>
  </si>
  <si>
    <t>- Once we are happy we can create a GOLD level dataset and share with research services using newly established cross domain reporting approach.
- Nathan to work with Martin to develop the link between the HR dataset and the research dataset.</t>
  </si>
  <si>
    <t>Implementation of agreed workaround to falling below Oxford Living Wage in April for the May 2026 payroll</t>
  </si>
  <si>
    <t>13/03/26 - All tested and ready to go live in April payroll</t>
  </si>
  <si>
    <t>Holiday Calculator Tool migration</t>
  </si>
  <si>
    <t>Migration of the existing holiday calculator to a power BI tool which will reduce or eliminate the pain points HR Admins currently have with the difference between the holiday calculator and the system calculations</t>
  </si>
  <si>
    <t>Improvements to the usability of the holiday calculator tool. Automation of in system adjustments required. New functionality to cope with 'what if' scenarios not covered by system functionality.</t>
  </si>
  <si>
    <t>Elena / Beth</t>
  </si>
  <si>
    <t>09/03/26 - Elena and Beth recuited to resource this activity</t>
  </si>
  <si>
    <t>- Elena to analyse data used by existing calculator</t>
  </si>
  <si>
    <t>EJRA 15 Year Review</t>
  </si>
  <si>
    <t>HR Systems support of the EJRA 10 Year Review</t>
  </si>
  <si>
    <t xml:space="preserve">Review will seek to answer: 
whether the current Aims of the EJRA Policy remain aims the University should pursue and whether others should be articulated; 
the extent to which the Aims are being met or will be met in future through the EJRA, whether alone or in conjunction with other measures; 
whether there are any alternative means by which the Aims could be met; and  
whether the Group’s view is that the EJRA is, as at the date of the review, a proportionate and necessary means of achieving the Aims, whether alone or in conjunction with other measures. </t>
  </si>
  <si>
    <t xml:space="preserve">The terms of reference listed the data to be collected as: 
staffing data relevant to turnover at Oxford in all relevant grades and the extent of the EJRA’s contribution to the creation of vacancies; 
diversity data; 
information on the experience of universities comparable to Oxford where compulsory retirement has been abolished, including in Europe and the USA; (Tracy Fahey pulled this together) 
data on the allocation between generations of the benefits of employment at Oxford, including security of employment and types of working arrangements, pay, pension benefits (in the context of current discussions linked to the valuation of USS), housing and other benefits enjoyed by different age groups; 
examples of practice relating to retirement (including alternatives to compulsory retirement) at universities comparable to Oxford, in the UK and globally, and the impact of that practice on the institutions and their staff; 
information about the impact of compulsory retirement upon staff, including the availability of alternative work in Oxford and elsewhere, pension benefits, opportunities within the University and colleges, their experience of the retirement process and their relationship with the University after retirement etc; 
details of extension applications since 2011; 
information on the job market in the Higher Education sector and any areas of labour shortage or surplus for Oxford; 
statistical data on population trends, such as retirement age and longevity; and, 
information on case-law and legal aspects of the policy and possible alternatives to it. </t>
  </si>
  <si>
    <t>REF Strategy, People, Research Environment (SPRE) data requirements investigation &amp; preparation</t>
  </si>
  <si>
    <t>Initial investigation &amp; data provision (potentially dashboard development)</t>
  </si>
  <si>
    <t xml:space="preserve">Contextual information for the Institutional Level Statement (ILS), the Unit Level Statements (ULS) and potentially environment for individual Units of Assessment. </t>
  </si>
  <si>
    <t>Simon
Sarah</t>
  </si>
  <si>
    <t>11/03/26 - Nathan shared outline plan and timeline from REF for the initial work on SPRE data requirements</t>
  </si>
  <si>
    <t>- Nathan to continue work on investigaion of SPRE requirements based on PCE feedback received from Pilot.</t>
  </si>
  <si>
    <t>CA136_2526</t>
  </si>
  <si>
    <t>Annual Retirement Paper data provision</t>
  </si>
  <si>
    <t>Provision of data to the policy lead retirement paper</t>
  </si>
  <si>
    <t>- Marie K's primary focus for the next two weeks</t>
  </si>
  <si>
    <t>Owners</t>
  </si>
  <si>
    <t>Mandate</t>
  </si>
  <si>
    <t>System Affected</t>
  </si>
  <si>
    <t>Timing</t>
  </si>
  <si>
    <t>CA101</t>
  </si>
  <si>
    <t>Feb to Mar</t>
  </si>
  <si>
    <t>July to 1st week in Oct</t>
  </si>
  <si>
    <t>December</t>
  </si>
  <si>
    <t>January &amp; August</t>
  </si>
  <si>
    <t>April</t>
  </si>
  <si>
    <t>May-July</t>
  </si>
  <si>
    <t>January-November</t>
  </si>
  <si>
    <t>CA105_d</t>
  </si>
  <si>
    <t>July-November</t>
  </si>
  <si>
    <t>CA107</t>
  </si>
  <si>
    <t>Aug - Sept</t>
  </si>
  <si>
    <t>CA109</t>
  </si>
  <si>
    <t>Formerly known as XpertHR / UCEA Salary Survey of Higher Education Staff</t>
  </si>
  <si>
    <t>May</t>
  </si>
  <si>
    <t>CA111</t>
  </si>
  <si>
    <t>August/November</t>
  </si>
  <si>
    <t>CA114</t>
  </si>
  <si>
    <t>By end of first week in January</t>
  </si>
  <si>
    <t>CA115</t>
  </si>
  <si>
    <t>Equal Pay Audit (next due 2027)</t>
  </si>
  <si>
    <t>Jan-Feb (2024 only)</t>
  </si>
  <si>
    <t>CA117_a</t>
  </si>
  <si>
    <t>CA117_b</t>
  </si>
  <si>
    <t>CA117_c</t>
  </si>
  <si>
    <t>Late January</t>
  </si>
  <si>
    <t>CA117_d</t>
  </si>
  <si>
    <t>CA118</t>
  </si>
  <si>
    <t>Complete Risk Assessments/Registers for statutory returns (Gender Pay and HESA)</t>
  </si>
  <si>
    <t>Due 22nd May</t>
  </si>
  <si>
    <t>CA119</t>
  </si>
  <si>
    <t>CA120</t>
  </si>
  <si>
    <t>June</t>
  </si>
  <si>
    <t>CA122</t>
  </si>
  <si>
    <t>CA124</t>
  </si>
  <si>
    <t>CA125</t>
  </si>
  <si>
    <t>February</t>
  </si>
  <si>
    <t>CA126</t>
  </si>
  <si>
    <t>CA127</t>
  </si>
  <si>
    <t>Late July - early August</t>
  </si>
  <si>
    <t>August - October</t>
  </si>
  <si>
    <t>CA130</t>
  </si>
  <si>
    <t>Clear down data from over 2 years ago (or relevant retention period) from ad-hocs / FOIs / etc</t>
  </si>
  <si>
    <t>January (clearing down up to 2 years previous)</t>
  </si>
  <si>
    <t>CA131_a</t>
  </si>
  <si>
    <t>Early January</t>
  </si>
  <si>
    <t>CA131_b</t>
  </si>
  <si>
    <t>Late March</t>
  </si>
  <si>
    <t>CA132</t>
  </si>
  <si>
    <t>November - Early January</t>
  </si>
  <si>
    <t>CA133</t>
  </si>
  <si>
    <t>Annual FTC Committee Paper</t>
  </si>
  <si>
    <t>Updating tables</t>
  </si>
  <si>
    <t>Update dashboard tales with latest year data</t>
  </si>
  <si>
    <t>CA134</t>
  </si>
  <si>
    <t>Oct/Nov</t>
  </si>
  <si>
    <t>CA135</t>
  </si>
  <si>
    <t>SUMS Senior Academic Salary Survey</t>
  </si>
  <si>
    <t>CA136</t>
  </si>
  <si>
    <t>Status Description</t>
  </si>
  <si>
    <t>Status Detail</t>
  </si>
  <si>
    <t>Deadline Type</t>
  </si>
  <si>
    <t>Category</t>
  </si>
  <si>
    <t>Type description</t>
  </si>
  <si>
    <t>Y/N</t>
  </si>
  <si>
    <t>Priority</t>
  </si>
  <si>
    <t>Effort</t>
  </si>
  <si>
    <t>Things we know are definitely coming but have no timescales for</t>
  </si>
  <si>
    <t>Used where there is no option to move the deadline due to legislative, legal or financial impact.</t>
  </si>
  <si>
    <t>Standard workload which is part of standard workload, tends to be on the Yearly Calendar but includes more adhoc work like pay uplifts which are expected but don't happen on a schedule</t>
  </si>
  <si>
    <t>Newly added to the roadmap - needs to be discussed and scheduled in</t>
  </si>
  <si>
    <t>Used when firm deadlines are at risk of delay</t>
  </si>
  <si>
    <t>Used where there is a high business requirement to implement on time, or a deadline set by the vendor. Deadline should not be missed</t>
  </si>
  <si>
    <t>Non-standard work driven by BAU team - "BAU Projects" such as POG enhancements etc.</t>
  </si>
  <si>
    <t>Future items which we have scheduled in time to work on</t>
  </si>
  <si>
    <t>Used when firm deadlines have been missed</t>
  </si>
  <si>
    <t>Used when there is no firm deadline but we have communicated a deadline to end users. Would normally be moved to fixed self imposed once we commit from a flexible deadline for a BAU project.</t>
  </si>
  <si>
    <t>Support given to a formal funded project, often managed by IT Services.</t>
  </si>
  <si>
    <t>Planning &amp; scoping has begun for deliverable</t>
  </si>
  <si>
    <t>Deprioritised - deadline extended</t>
  </si>
  <si>
    <t>Can be used when self imposed deadlines are pushed back</t>
  </si>
  <si>
    <t>Used when there is no firm deadline but we set a target to meet.</t>
  </si>
  <si>
    <t>Development, testing, deployment etc is in progress</t>
  </si>
  <si>
    <t>Used when item put on hold</t>
  </si>
  <si>
    <t>Ongoing workload with no fixed deadline - very low priority, normally investigatory work with no impact and low priority.</t>
  </si>
  <si>
    <t>Item is currently on hold. Ensure notes are up to date.</t>
  </si>
  <si>
    <t>Item not delivered.</t>
  </si>
  <si>
    <t>Item has been delivered</t>
  </si>
  <si>
    <t>On Hold - Waiting for Vendor fix</t>
  </si>
  <si>
    <t>On Hold - Waiting for BAU project initiation</t>
  </si>
  <si>
    <t>Used when item is new or expected but not started</t>
  </si>
  <si>
    <t>Retire Data Services</t>
  </si>
  <si>
    <t>Existing data services users will begin to carry out their own data entry. 
Resource freed up in HRA.</t>
  </si>
  <si>
    <t>Data Services users</t>
  </si>
  <si>
    <t>HRA, Tr, BC</t>
  </si>
  <si>
    <t>28/06 - Heidi confirmed she is meeting with GLAM divisional office to discuss the transition from data services. 21/06/2024 - Oxford Martin School no longer using Data Services; the only remaining user is Botanic Gardens in GLAM. 
03/05/2024 - TIK has confirmation that Oxford Martin School will move their data services needs over to the Social Sciences divisional office in time for June Payroll deadline. St Cross is still progressing nicely away from needing Data Services team, but GLAM shared HR service is not yet established as a replacement.
08/03/2024 - TIK met with St Cross agreed deadlines: St Cross - April Payroll (with support) Botanic Garden moving to shared HR service from May payroll.
01/03/2024 - Botanic Garden to move to GLAM shared service.
12/01/2024 - Three of four departments to be retired in the first quarter, timescales TBC for St Cross College but likely first half of 2024. 
15/12/2023 - Remaining 4 departments to be moved - need to understand timescales
23/08/2023 - History and Philosophy are both ready to move over now. Need to know how many departments remain and how to prioritise the rest of the migration. Maybe split to a new row. Could be a relatively small piece of work for the Business Change team. Business Decision is required around the visibility of data services to users.
18/08/2023 - AS confirmed only Philosophy have migrated so far.
Julie helping History and Philosophy in Humanities, there will be others still go start the process. Neither have confirmed timescales, they want training before they decide how much work it is. Need to catch up with Julie and Sarah on this one. Need to understand the latest update; but aware that whole of Humanities will soon be using PXD directly</t>
  </si>
  <si>
    <t>- All departments, including St Cross College, should now have moved to managing their own processes. TIK to check with Ant whether anyone submitted anything for the August payroll on his return from leave.</t>
  </si>
  <si>
    <t>Inactive reference data</t>
  </si>
  <si>
    <t>Remove form users' view "inactive" data options, such as list items in drowdown lists that are preset with "ZZ" (ie no for use). This previously wasn't possible to do.</t>
  </si>
  <si>
    <t>Ensure users are able to see accurate reference data items within the system so that they can easily choose the correct option. Improve data quality. Removing unused codes from "Reason Codes", "Employee Status" and "Applicant Status" fields.</t>
  </si>
  <si>
    <t xml:space="preserve">13/08 - Inactive ref data now removed in live environment. Comms to follow.
05/07 - Tracy confirmed it's ok to change to Student Union record (employee status field) but need to identify the appropriate value to change to. 
21/06/2024 - MOS has confirmed testing is complete, and has emailed Michelle W to confirm next steps
14/06/2024 - List of ZZ items identified for removal. CR was raised on 10/04/24 - with MOS
29/02/2024 -Discussed at POG catch up. Agreed to split out the work to list applicant statuses in order into it's own POG item. This will cover the removal of  ZZ Do Not Use items. Formal task with Michael
17/01/2024 - POGs consulted - defining the list of items which are safe to deactivate as a starting point.
15/12/2023 - a good place to start might be anything that comes out of the HESA review which would help data quality?
23/08/2023 - maybe break this down into types - first one to break out could be Action and Reason Codes. Wait for Michelle to return from leave, look at feedback, plan out which items we're going to tackle and come up with a plan and deadlines for each.
27/06/2023 - POGs have been asked if there are any concerns with deactivating anything. </t>
  </si>
  <si>
    <t>- Systems steps completed in live - inactive ref data for the three agreed areas now removed. Comms to follow in the August 2024 bulletin</t>
  </si>
  <si>
    <t>NHS Pension Scheme Development</t>
  </si>
  <si>
    <t>October 2022 new NHS pension scheme migration</t>
  </si>
  <si>
    <t>University will continue to meet NHS Pension regulatory requirements</t>
  </si>
  <si>
    <t>Volcanic</t>
  </si>
  <si>
    <t>Proof of Concept</t>
  </si>
  <si>
    <t xml:space="preserve">Introduce the new recruitment plus volcanic </t>
  </si>
  <si>
    <t>Recruitment Administrators</t>
  </si>
  <si>
    <t>- Volcanic proof of concept has completed, we have lessons learned and a couple of blockers which Tom will continue working with Access Group on before we stand up a wider project to roll out.</t>
  </si>
  <si>
    <t>P&amp;C_1</t>
  </si>
  <si>
    <t>Phase 1 - Oxford University Weighting, Grade 1-3 Restructure and Assosciate Professor Grade changes</t>
  </si>
  <si>
    <t>Implementation of the Oxford Weighting, Grade 1-3 restructure, Researchers on grade 6-10 to receive one additional scale point, Associate Professor grade (10A) to be increased by 1 point.</t>
  </si>
  <si>
    <t>HRA, BC, FA</t>
  </si>
  <si>
    <t>Ongoing meetings with project team</t>
  </si>
  <si>
    <t>- SB to update Jess - SR to work with Jarek to educate him in the things to consider when producing costings (for 1-3 grades)
- FA team to establish if grades can be loaded
- Project team to consider communications to downstream services
- Consideration being given by SR on HESA impact on AP grades and Oxford Weighting.</t>
  </si>
  <si>
    <t>6a</t>
  </si>
  <si>
    <t>Onboarding Pilot - phase 1</t>
  </si>
  <si>
    <t>BC, FA</t>
  </si>
  <si>
    <t>In progress</t>
  </si>
  <si>
    <t>6b</t>
  </si>
  <si>
    <t>Onboarding pilot - phase 2</t>
  </si>
  <si>
    <t>Imminent - UAS and Humanities joining from 19 June 2023</t>
  </si>
  <si>
    <t>6c</t>
  </si>
  <si>
    <t>Onboarding non-completion reminders (to staff)</t>
  </si>
  <si>
    <t>Helping to ensure onboarding checklist completion</t>
  </si>
  <si>
    <t>Arose from Onboarding pilot (requested by pilot depts and Markos)</t>
  </si>
  <si>
    <t>6d</t>
  </si>
  <si>
    <t>Onboarding Uni-wide rollout</t>
  </si>
  <si>
    <t>BC, FA, Tr</t>
  </si>
  <si>
    <t>Reports to be released on Friday 10th November. Need to understand current issue and agree what BC/comms campaigns need to look like and what timelines would be realistic</t>
  </si>
  <si>
    <t>6e</t>
  </si>
  <si>
    <t>Early life support</t>
  </si>
  <si>
    <t>23/02/24 - key reminder added to bulletin. Mentioned in HESA presentation yesterday.</t>
  </si>
  <si>
    <t>- continue ELS</t>
  </si>
  <si>
    <t>Recruitment &amp; Turnover Dashboards - Tableau rollout</t>
  </si>
  <si>
    <t>Provide access to the recruitment turnover dashboards to existing users of PeopleXD</t>
  </si>
  <si>
    <t>22a</t>
  </si>
  <si>
    <t>Establish strategic direction from Steering Committee</t>
  </si>
  <si>
    <t>Remove restrictions on system use (particularly in portal) caused by the security model</t>
  </si>
  <si>
    <t>Going to HRSSC in July 2023. Once we know outcome can plan next phase.</t>
  </si>
  <si>
    <t>22b</t>
  </si>
  <si>
    <t>Acquire sign off to proceed "option 1 - widen University access for all People Management users"</t>
  </si>
  <si>
    <t>24/08 - TIK to write up draft of paper by early/mid September for review. 
Received task to create roadmap by HRSSC</t>
  </si>
  <si>
    <t>23a</t>
  </si>
  <si>
    <t>Guardian Report Process</t>
  </si>
  <si>
    <t>Update the guardian reports to look at portal access, review the procedures and instructions. Ensure a robust checking process for guardians to follow to ensure appropriate system governance.</t>
  </si>
  <si>
    <t>Guardians</t>
  </si>
  <si>
    <t>Reports are released and we are in early life support. Reminder to go into bulletin this week hopefully but once this month is out of the way we'll consider this complete and in place.</t>
  </si>
  <si>
    <t>23b</t>
  </si>
  <si>
    <t>Operational Portal Security Reports Review - Personnel and Recruitment Access</t>
  </si>
  <si>
    <t>Deliver reports which can be used by HR systems to accurately report on security access in the portal</t>
  </si>
  <si>
    <t>SECSUP15 and SECSUP16 reports produced, need to demo the reports to the team and then closed.</t>
  </si>
  <si>
    <t>Staff on Trial Period</t>
  </si>
  <si>
    <t>Process improvements, hard to identify who is on a trial period currently. Current reason codes don't reflect current process or policy.</t>
  </si>
  <si>
    <t>23/08 - communicated in the bulletin today, now resolved. 17/08 - Is this now all done? Implemented on 20th July.
Deactivate all old reason codes to make it easier to manage this process. Tonya to contact HRA to assess reporting impact, FA to raise change, identify any records which need updating, update reference data, guidance needs updating and new process communicating.</t>
  </si>
  <si>
    <t>Revise Staff Request &amp; Contract Decision Matrix</t>
  </si>
  <si>
    <t>Users to more accurately identify the correct processes to follow. This also feeds into the grading service review.</t>
  </si>
  <si>
    <t>BC, Reward</t>
  </si>
  <si>
    <t>New version to go live w/c 26 June</t>
  </si>
  <si>
    <t>Student Ambassador Post</t>
  </si>
  <si>
    <t>Will allow PeopleXD users to define student ambassador records set up in the system, which will enable easier reporting on this staff group</t>
  </si>
  <si>
    <t>BC, FA, HR Policy</t>
  </si>
  <si>
    <t>23/06 - Helen has created the new Casual Ambassador post &amp; updated the casual payment spreadsheet to allow for the new Casual Ambassador post</t>
  </si>
  <si>
    <t>28b</t>
  </si>
  <si>
    <t>Review revise and migrate appointing guidance, incorporating scenario factsheets</t>
  </si>
  <si>
    <t>Tr, BC</t>
  </si>
  <si>
    <t>New guidance currently being piloted by some departments, planning to communicate a go live date wef early august</t>
  </si>
  <si>
    <t>29a</t>
  </si>
  <si>
    <t>High level dashboard</t>
  </si>
  <si>
    <t>15/12 - Nearly available to On Sarah's list, likely to be revisited after HESA completion. Data has to be anonymised and aggregated.</t>
  </si>
  <si>
    <t>University Staff Mailing List</t>
  </si>
  <si>
    <t>15/12 - Built. Need to service transition knowledge into the team. Also need to establish numbers question from Anna Myers, need to build trust in data.</t>
  </si>
  <si>
    <t>33a</t>
  </si>
  <si>
    <t>Overseas Workers reporting and process improvements</t>
  </si>
  <si>
    <t>Produce report for overseas tax team and payroll</t>
  </si>
  <si>
    <t>Will assist finance and payroll teams with visibility of overseas workers recorded in the system</t>
  </si>
  <si>
    <t>FA, Finance/Payroll</t>
  </si>
  <si>
    <t>Impact on reports and UDF/guidance. Working with Phil Jukes on this.</t>
  </si>
  <si>
    <t>33b</t>
  </si>
  <si>
    <t>Updated process, new UDF and new report for HR Departmental Users</t>
  </si>
  <si>
    <t>Will tie up the process expected from Finance, make reporting on overseas workers more straight forward for departments and will provide better reporting capabilities.</t>
  </si>
  <si>
    <t>People Management POG &amp; Finance Tax Team</t>
  </si>
  <si>
    <t>BC, FA, Finance/Payroll, HR policy</t>
  </si>
  <si>
    <t>07/11 - Report description still needs to be written, everything else is live. 17/08 - UDF to go live 2nd October, ideally would get the report ready for the same time frame. MOS picked up the UDF configuration.</t>
  </si>
  <si>
    <t>- Michelle to draft report description</t>
  </si>
  <si>
    <t>Outside appointments UDF updates</t>
  </si>
  <si>
    <t>Allow employees to update outside appointment details, remove data input task from HR admins, refine the data captured to make data analysis easier.</t>
  </si>
  <si>
    <t>Research Services &amp; HR Policy</t>
  </si>
  <si>
    <t>FA, BC, HR Policy</t>
  </si>
  <si>
    <t>17/08 - Michelle has suggested we go live 1st October, I think I posed some questions back to her, I'm not confident we've got a joined up plan with this one so we might need a meeting to make sure everyone is on the same page. 
Requirements from HR Policy and Research Services to update/change data recorded in the UDF for Outside Appts</t>
  </si>
  <si>
    <t>Applicant details drill-down</t>
  </si>
  <si>
    <t>Easier way for users to navigate the system, time efficiencies.</t>
  </si>
  <si>
    <t>15/03/24 - Added to the "during employment / job related changes" section on website.
01/03/24 - TIK and JH have agreed a plan for the FAQ
12/01/24 - Think this is resolved, TIK to discuss with Julie
23/08 - need update from Julie or Michelle.
With Julie and Michelle to update guides - could be a good item for an FAQ?</t>
  </si>
  <si>
    <t>- Julie to add into FAQ section, aim to complete by bulletin publication date</t>
  </si>
  <si>
    <t>Cost allocation changes to be included on the report PERDEP21 Monthly Data Input Check</t>
  </si>
  <si>
    <t xml:space="preserve">Will enable Business Managers to pick up any errors in costing information prior to the supplementary payroll deadline and verify that requested cost information has been input correctly. </t>
  </si>
  <si>
    <t>23/08 - Next steps - update report description and get comms into bulletin.
17/08 - Helen has a draft of this report, not sure what next steps are or when it'll be ready. Do we want a deadline? 
Request for PERDEP21 report to pick up the applied cost allocation as well as the general code for a post which is currently picked up under ‘Appointment Cost Centre’</t>
  </si>
  <si>
    <t>41a</t>
  </si>
  <si>
    <t>Ability to delete employee contracts</t>
  </si>
  <si>
    <t>Implement delete appointments functionality for HR Systems use</t>
  </si>
  <si>
    <t>Allow the deletion of incorrectly processed appointment changes, new appointments, transfers. This will simplify support fixes.</t>
  </si>
  <si>
    <t>Stop issuing paper payslips to casuals</t>
  </si>
  <si>
    <t xml:space="preserve">Would be a big improvement for payroll and casual staff. (Tracy currently gets up to 50 requests per month for copies of casual payslips). Would save time and effort for all involved in the process. </t>
  </si>
  <si>
    <t>26/01/24 - Confirmed with Payroll that they are happy with the processes put in place. Still need to mark all paper payslips who are not an exception or leaver as online payslips but will do this asap.
07/11/23 - now live with the new process, running checks for three months through to December payroll.23/08 - in last month's bulletin, email going out tomorrow to all users, there's a briefing in October and messages also via other university channels. Collate exceptions data by 23rd, potentially make decisions. May wish to flag to IT where issues relate to SSO provisioning or interface issues.
Stop issuing paper payslips to casuals</t>
  </si>
  <si>
    <t>HESA 2022/23 configuration changes</t>
  </si>
  <si>
    <t>Data will be captured for the HESA staff return</t>
  </si>
  <si>
    <t>Changes to reference data and reports as a result of changes to HESA requirements</t>
  </si>
  <si>
    <t>RECDEP44 adverts source enhancement</t>
  </si>
  <si>
    <t>Report is difficult to get to complete, improve the performance and usability of the report</t>
  </si>
  <si>
    <t>Request to add date filters to report</t>
  </si>
  <si>
    <t>Case management system</t>
  </si>
  <si>
    <t>Set up a sandbox dynamics environment, to allow HRBPs to record requirements</t>
  </si>
  <si>
    <t>Allow consistent recording of case details and service reporting</t>
  </si>
  <si>
    <t>47a</t>
  </si>
  <si>
    <t>Continuous Service Improvements</t>
  </si>
  <si>
    <t>Exercise to tidy up CS data</t>
  </si>
  <si>
    <t>Analyse potential errors with system generated continuous service, particularly with data migrated into the system, to provide assurance of the quality of the data so that it was be used to report on accurately and be used in holiday calculations once WFM is rolled out</t>
  </si>
  <si>
    <t>HR Departments</t>
  </si>
  <si>
    <t>FA, BC, HRA</t>
  </si>
  <si>
    <t>01/03/24 - Still outstanding queries coming through to first line.
26/01/24 - Divisions have been provided with the output of data and asked to check/update where necessary, Tonya to check in with contacts next week, Cont Ed have completed the work.
12/01/24 - Susan has written a report to identify issues and queries with CS in the system, this will be rolled out to Departments early this year. Timescales and deadlines are needed for this and the following item - Helen has requested a meeting to discuss.</t>
  </si>
  <si>
    <t>- Helen working through queries received. Potentially system issue identified - HC to complete testing and raise issues with Access Group. First line guidance &amp; knowledge transfer needs to be written / given.
- Continue "ELS" until end of March</t>
  </si>
  <si>
    <t>47b</t>
  </si>
  <si>
    <t>Expose continuous service data in existing HR Reports</t>
  </si>
  <si>
    <t>Expose system calculated Continuous Service dates in reports ahead of WFM rollout.</t>
  </si>
  <si>
    <t>08/03/24 - Tonya and Helen have met and agreed comms and timelines. 
1/03/24 - Report updates completed, comms to be prepared.
26/01/24 - Will prepare for release once Tonya has discussed position with divisions.
22/08 - Likely to launch Susan's CS report by the end of the year - will decide what development we want once BC have availability, possibly start work on this in October? 
17/08 - We have an updated version of the code which has been tested, we would ideally line up the release of the report and the comms with the launch of the work the Susan is doing on continuous service. Once we have timelines for that we could line this up with it.
Include continuous service dates in PERDEP01</t>
  </si>
  <si>
    <t>- Agreed publish date of Thursday 21st. Julie to publish web updates on Thursday as will bulletin.</t>
  </si>
  <si>
    <t>August 2023 pay uplift</t>
  </si>
  <si>
    <t>Implementation of the Nationally agreed pay uplift, part 2</t>
  </si>
  <si>
    <t>FA, BC, Reward, Payroll</t>
  </si>
  <si>
    <t>Recent pay uplifts haven't entirely followed the usual processes/route and have required a 'project-like' approach</t>
  </si>
  <si>
    <t>New position type in Staff Request</t>
  </si>
  <si>
    <t>Create a new position type and retire an existing one (to be selected by user from dropdown menu)</t>
  </si>
  <si>
    <t>Reward, FA, BC</t>
  </si>
  <si>
    <t>23/06 - Helen has Re-labelled Position type NEW POST - GENERIC JD (AMENDED) TO ZZ DO NOT USE (NEW POST GEN JD -AMENDED)
Created new position type NEW POST – EXISTING JD</t>
  </si>
  <si>
    <t>New reason code to support change in process for fixed term moves into open-ended (ext. funded) contracts</t>
  </si>
  <si>
    <t>A more efficient process for processing the move of staff between similar contract types. Retention of HESA related data on the original record without the need to re-enter (and potentially lose) the data.</t>
  </si>
  <si>
    <t>23/06 - Helen has created the new reason code in UOXP
New reason code to identify staff who move from fixed term contract to an open-ended one, without the need to set up new appt etc</t>
  </si>
  <si>
    <t>56a</t>
  </si>
  <si>
    <t>New grades and migration of Joint Appointment Associate Professors - A10 grades</t>
  </si>
  <si>
    <t>Migration of 39S grades</t>
  </si>
  <si>
    <t>NMW reporting will accurately reflect the working hours which make up the portion of the salary which APs on joint appointments are paid. Focus on high risk 39S grade - this is the lowest Uni split.</t>
  </si>
  <si>
    <t>Reward Team, Payroll Team, HR Departments</t>
  </si>
  <si>
    <t>17/08 - Work completed last week for the 39S grade. 
Kick off meeting 05/07 - Reward and Payroll to confirm effective dates and codes for grades, Jess to discuss contractual concerns with policy team.</t>
  </si>
  <si>
    <t>58a</t>
  </si>
  <si>
    <t>October 23 tier rate changes</t>
  </si>
  <si>
    <t>OSPS Pensions are altering their tier rates from October 2023</t>
  </si>
  <si>
    <t>23/08 - October 2023 changes to tiers. Have a heads up on the new rates. Need to map to system schemes and then configure &amp; test.</t>
  </si>
  <si>
    <t>58b</t>
  </si>
  <si>
    <t>Backdates payments will be calculated correctly without any manual adjustments being required.</t>
  </si>
  <si>
    <t>Confirmation received that the scheme should be configured to ensure backdated arrears pay at the new rates, not on the old rate. This requires reconfiguration of the scheme.</t>
  </si>
  <si>
    <t>Clinical Pay Uplift 2023</t>
  </si>
  <si>
    <t>Implementation of the Nationally agreed clinical pay uplift for clinical staff</t>
  </si>
  <si>
    <t>Reward, FA, HRA</t>
  </si>
  <si>
    <t>24/08 - Received a heads up that we have an agreement for clinical rate increases effective 1 April 2023. Expecting to implement this at the end of September.</t>
  </si>
  <si>
    <t xml:space="preserve">New Unused Vacancy Status </t>
  </si>
  <si>
    <t>Departments can mark vacancies created via SR but not used, will assist in reporting, particularly centrally</t>
  </si>
  <si>
    <t>HR Recruitment Administrators</t>
  </si>
  <si>
    <t>15/12 - I think this is in LIVE now but the wider team needs more information. Also - what comms are there / has there been?
15/11 - MOS has tested - in UOXC - with Julie for UAT and business change elements.</t>
  </si>
  <si>
    <t>USS Pension changes January 2024</t>
  </si>
  <si>
    <t>21/11 - Rates are now confirmed, will be effective January 1st.
?? - Pension rates and thresholds are going to change, will be lower, but no confirmed details as yet. Will need to tie into Payroll Year End testing.</t>
  </si>
  <si>
    <t>MRC Pay Uplift - July 2022</t>
  </si>
  <si>
    <t>Implementation of the MRC agreed uplift</t>
  </si>
  <si>
    <t>HRA, BC, Reward, Payroll</t>
  </si>
  <si>
    <t>Backdated award to July 2022, have a process to follow, likely to be less than 50 employees affected. Rates calculated by HRA and input by Data Services.</t>
  </si>
  <si>
    <t>WFM Company System Calendars &amp; Control Parameters config</t>
  </si>
  <si>
    <t>Move of Company System Calendars &amp; Control Parameters config from Back Office into the portal</t>
  </si>
  <si>
    <t>09/11/23 - Michael looking at the new screens in the portal</t>
  </si>
  <si>
    <t>68a</t>
  </si>
  <si>
    <t>Short term additional questions to short application form</t>
  </si>
  <si>
    <t>Set up of some additional questions to the short application form to allow the launch of a new apprenticeship project in December / January.</t>
  </si>
  <si>
    <t>24/11 - initial meeting with UAS HR / apprenticeships team to discuss requirements, agreed that we would investigate what we could do to get them up and running for their current project due to kick off in two weeks time, but also investigate further development of a full application form, possibly using volcanic, that did exactly what they needed,</t>
  </si>
  <si>
    <t>National Insurance changes - January 2023</t>
  </si>
  <si>
    <t>a cut in the main rate of NICs paid by employees (‘primary Class 1 NICs’) from 12% to 10%. This rate cut would apply from 6 January 2024</t>
  </si>
  <si>
    <t>15/12/23 - Tracy currently testing. 
28/11 - waiting for confirmation from Access Group on solution</t>
  </si>
  <si>
    <t>Include bullying and harassment questions on application form</t>
  </si>
  <si>
    <t>Implement Wellcome Trust requirements on application form questions to cover bullying and harassment. Wellcome Trust have give us until the end of the year to become compliant.</t>
  </si>
  <si>
    <t>15/03/24 - New questions ready to go into UOXP, bulletin lined up, have not completed work on the report. 
29/02/24 - Ruth messaged to say nearly ready to go live.
12/01 - Current position is that this was pulled because the policy team needed to discuss with legal services but this is still expected at some point. 
28/11 - request raised with FA team, need to set up new questions as private questions.</t>
  </si>
  <si>
    <t>- Helen to complete work on private questions report. Aim to go live at the same time as bulletin, providing Policy comms are ready.</t>
  </si>
  <si>
    <t>EVSS report update</t>
  </si>
  <si>
    <t>Deliver improvements to the EVSS report to restrict further to employees eligible for the scheme</t>
  </si>
  <si>
    <t>29/11 - One final improvement needed to sum salary per person so we can restrict those on low salaries overall.</t>
  </si>
  <si>
    <t>MRC Pay Uplift - 2023</t>
  </si>
  <si>
    <t>HRA, Reward, Payroll</t>
  </si>
  <si>
    <t>DTP1003 Data Availability Project</t>
  </si>
  <si>
    <t>· Rollout of Whatfix to all system users
· Deliver a front end and back end dashboard for operational use by the grading and reward teams using the data warehouse and powerBI functionality
· Deliver the reporting capability for starters movers leavers secondments etc and a dashboard showing staff movement across the University
· Deliver a view of management structure within the system via the org chart functionality
· Complete a user review of the new Finance and HR dashboard and how much of the payroll costing report it could replace</t>
  </si>
  <si>
    <t>BC, Su, Tr, FA, HRA</t>
  </si>
  <si>
    <t>29/02/24 - Project officially concludes today, but still need to complete service transition. We will need to decide what to do with the Payroll Costings report paper (we need to see this) and the Staff Movement Dashboard production will move into BAU for completion.</t>
  </si>
  <si>
    <t>- Get the conclusion of the Payroll Costing workstream handed over to BAU and determine any follow up tasks
- Complete service transition.</t>
  </si>
  <si>
    <t>Addressing incomplete and missing staff data paper</t>
  </si>
  <si>
    <t>Paper has been written - need to kick off the EDU working group to take action.</t>
  </si>
  <si>
    <t>SUMS Senior Salary Benchmarking survey</t>
  </si>
  <si>
    <t>28/02/25 - not received survey yet</t>
  </si>
  <si>
    <t>- Athena to check with team in huddle what this survey is.
- Marie C asking Sarah K if she has received this survey yet.</t>
  </si>
  <si>
    <t>Roadmapped Deadline</t>
  </si>
  <si>
    <t>10b</t>
  </si>
  <si>
    <t>October 2023 NHS pension tier threshold changes</t>
  </si>
  <si>
    <t>Planning, Scoping &amp; Definition</t>
  </si>
  <si>
    <t>NHS Pensions are altering their tier structure from October 2023</t>
  </si>
  <si>
    <t xml:space="preserve">07/11 - NHS decided not to alter their tiers in October 2023. October 2023 changes to tiers. Waiting for final confirmation of requirements from Pensions. </t>
  </si>
  <si>
    <t>Cancelled</t>
  </si>
  <si>
    <t>1a</t>
  </si>
  <si>
    <t>Back Office to Portal Migration</t>
  </si>
  <si>
    <t>Migration of remaining screens into portal</t>
  </si>
  <si>
    <t>Future: Awaiting Vendor Development</t>
  </si>
  <si>
    <t>Functionality to be migrated from back office forms into the portal</t>
  </si>
  <si>
    <t>Su, FA, Tr, BC</t>
  </si>
  <si>
    <t>On hold - awaiting TAG to deliver functionality</t>
  </si>
  <si>
    <t>On hold</t>
  </si>
  <si>
    <t>1b</t>
  </si>
  <si>
    <t>Staff Request process move to Portal</t>
  </si>
  <si>
    <t>Affects Reward team's processes</t>
  </si>
  <si>
    <t>FA, BC, Reward</t>
  </si>
  <si>
    <t>Awaiting TAG to deliver solution - but unlikely to be this year (2023). Reward team struggling with current process - TIK to ask Reward team to document issues to pass to TAG.</t>
  </si>
  <si>
    <t>1c</t>
  </si>
  <si>
    <t>Migration of pay history screen into report</t>
  </si>
  <si>
    <t>Development/Config &amp; Testing</t>
  </si>
  <si>
    <t>Provide a better method of searching through pay history than the portal version of the screen which Access Group have created. Currently Back Office still available to Payroll but we may be able to offer something better, potentially using the data warehouse?</t>
  </si>
  <si>
    <t>FA, HRA, Payroll</t>
  </si>
  <si>
    <t>12/01/24 - Move to Payroll POG?
Hangover from the migration of BO processes - could potentially become a POG item.</t>
  </si>
  <si>
    <t>10c</t>
  </si>
  <si>
    <t>Arrears development</t>
  </si>
  <si>
    <t>Arrears will be treated as per NHS Pensions specification with no manual adjustment by payroll, particularly for mass backpay such as pay uplifts processed in arrears.</t>
  </si>
  <si>
    <t>Requirements confirmed with Pension Team, AG working with NHS Pensions Company to confirm technical requirements, AG to then develop a fix which will need testing</t>
  </si>
  <si>
    <t>Review of G1-G3</t>
  </si>
  <si>
    <t>HRA, Reward</t>
  </si>
  <si>
    <t xml:space="preserve">Talk to Jess - are there timescales
</t>
  </si>
  <si>
    <t>23c</t>
  </si>
  <si>
    <t>Operational Portal Security Reports Review - others</t>
  </si>
  <si>
    <t>Future: Anticipated Activity</t>
  </si>
  <si>
    <t>Deliver reports which can be used by HR systems to accurately report on security access in the portal in other areas of the system, such as HR Reporting, Payroll, Sensitive Departments, Secure UDFs etc.</t>
  </si>
  <si>
    <t>Hold rehires into Core Pay</t>
  </si>
  <si>
    <t xml:space="preserve">Tracy (via Shane) has alerted us to a system parameter which might be able to ‘hold’ rehires from entering Core Pay without Payroll onboarding them which she would like us to investigate
</t>
  </si>
  <si>
    <t>41b</t>
  </si>
  <si>
    <t>University-wide rollout of  delete appointments functionality</t>
  </si>
  <si>
    <t xml:space="preserve"> Where an appointment has been assigned to an employee in error the ‘delete contract’ functionality provides improved methods of correcting.  
Allow departmental users to administer their own fixes, will allow departments to potentially make future dated changes knowing they will have the ability to delete and rebuild appointment history if the situation changes. Will also reduce support calls into HR Systems.</t>
  </si>
  <si>
    <t>12/01/24 - Decision made to keep this in support only due to low usage and high potential risk.
23/08 - not a priority for the next 3/6 months - re-visit in Q2 of 2024. - shall I come up with a way of defining things like this so we can not revisit every time.
17/08 - what's going on with this one? Do we want to mark it as a future plans item?</t>
  </si>
  <si>
    <t>Manage Change of Hours</t>
  </si>
  <si>
    <t>Automatic link to payroll change so that employees are paid correctly.
Quicker processing time</t>
  </si>
  <si>
    <t>23/08 - Not a priority for the current time - revisit before Q1 2024.
17/08 - what's going on with this one? Do we want to mark it as a future plans item?
POG Item 64
Aim: Implement the quick method to process a change in hours.
Benefits: Automatic link to payroll change so that employees are paid correctly.
Quicker processing time
Known Issues:  the Action code is inherited from the previous appointment sequence and cannot be updated</t>
  </si>
  <si>
    <t>Daily uni card interface failures</t>
  </si>
  <si>
    <t>Better quality of data being interfaced into PeopleXD. 
Timely set up of new starters on ESS.
Minimised errors caused by assigning incorrect SSOs to personnel records.</t>
  </si>
  <si>
    <t>HR Systems Team - onboarding/new starters</t>
  </si>
  <si>
    <t>Card Office are looking to progress two items to assist with the issue:
1. Addition of Personnel No to the University Card as an optional field. To allow this to be effective, comms needs to go to HR staff that completing this field is important due to the impact it'll have on account creation. This work is due in September 2023.
2. Automating the input of data from the reports from staging to input employee no's into the card records using power automate.</t>
  </si>
  <si>
    <t>56b</t>
  </si>
  <si>
    <t>Migration of remainder of grades</t>
  </si>
  <si>
    <t>NMW reporting will accurately reflect the working hours which make up the portion of the salary which APs on joint appointments are paid.</t>
  </si>
  <si>
    <t>15/12 - This is planned as part of the pay and conditions review, providing no further NMW breaches occur. We have a separate pay and conditions review row. 17/08 - Waiting for Reward team to set up a kick off meeting to discuss the remaining grades migration.</t>
  </si>
  <si>
    <t>7b</t>
  </si>
  <si>
    <t>HESA Staff Major Record Review</t>
  </si>
  <si>
    <t>Implementation of HESA major record review.</t>
  </si>
  <si>
    <t xml:space="preserve">Taken this out because we don't know what will come from the consultation, there may be nothing to do differently
</t>
  </si>
  <si>
    <t>University Wide Sickness Absence reporting</t>
  </si>
  <si>
    <t xml:space="preserve">
10/05/2024 - Awaiting instructions from MarieC about how to proceed.
26/01/2024 - Need to have a clearer understanding on what we need to deliver, but we may need to start planning this piece, particularly if we have to try and get data from departments not using PeopleXD</t>
  </si>
  <si>
    <t>Gapsquare for Gender Pay reporting - review of software offering</t>
  </si>
  <si>
    <t xml:space="preserve">21/06/2024 - Current focus is providing departments with data; Gapsquare (or alternatives) are longer term initiatives. This task will be put on hold, while a new activity will be created in the Roadmap to track new process for sharing GPG data with depts
07/06/2024 - AA sent 2023 MGPG data into Gapsquare template to assess how simple this may be.
17/05/2024 - Need to discuss at next HR/Reward catch-up 11/06/2024
10/05/2024 - Added to roadmap! Athena to flesh out this row. Not clear on what next steps should be, as Reward are leading on this (potential) piece of work.  </t>
  </si>
  <si>
    <t>Restructure of Bodleian</t>
  </si>
  <si>
    <t>Move 750 appointments as required</t>
  </si>
  <si>
    <t>Move 750 appointment records as part of Bodley restructure from August 2025.</t>
  </si>
  <si>
    <t>Bodleain</t>
  </si>
  <si>
    <t>-7/08/2025 - Waiting on details of Org Structure from PACS, due to be released 12/08/2025, before Ant/FA can progress this task
 Bodleaian have requested support with restructure processing in PeopleXD. Ant confirming that restructure automated tool can be used for this.</t>
  </si>
  <si>
    <t>- Pending org structure details from PACS</t>
  </si>
  <si>
    <t>18_b</t>
  </si>
  <si>
    <t>2. Review Chris's review document and ensure recommendations are followed.</t>
  </si>
  <si>
    <t>HR Reporting Users/HR Systems team</t>
  </si>
  <si>
    <t>18_c</t>
  </si>
  <si>
    <t>3. Review if any reports can be retired</t>
  </si>
  <si>
    <t>see notes against 18f - conducting requirements gathering exercise</t>
  </si>
  <si>
    <t>18_d</t>
  </si>
  <si>
    <t>4. Review parameters and ensure these are consistently applied to all reports; existing and new ones.</t>
  </si>
  <si>
    <t>18_e</t>
  </si>
  <si>
    <t>5. Insight: decide how we utilise reporting in PXD. Can the project on WFM explore this?</t>
  </si>
  <si>
    <t>18_f</t>
  </si>
  <si>
    <t>6. Conduct a requirements gathering exercise to truly understand what depts need now; original reports devised a long time ago.</t>
  </si>
  <si>
    <t>Could this be a Focus-led review?? This exercise could inform 18c - which reports could then be retired</t>
  </si>
  <si>
    <t>103_b</t>
  </si>
  <si>
    <t>Leavers &amp; Turnover data</t>
  </si>
  <si>
    <t>12/07/24 - Some work under this umbrella has been undertaken by Athena and Nathan. Might need to become a focussed item for next year. Need to understand the current pain points and analyse.</t>
  </si>
  <si>
    <t xml:space="preserve"> - Discuss with Athena to see how/when this can be roadmapped.</t>
  </si>
  <si>
    <t>103_c</t>
  </si>
  <si>
    <t xml:space="preserve">Removal of risk of 'single point of failure' for this key statutory report. At present, only two team members are able to run the complex R-scripts used to generate the Financial Statements data. Converting the R-scripts into Alteryx workflows will enable all members of the HRA team to assist with the analysis and production of the Financial Statements data.
Improved timeliness of delivery of year-end workforce reporting to support committee reporting. Reduced workload on the HRA team at the busiest time of year (year-end coincides with the HESA return). </t>
  </si>
  <si>
    <t>Create an HR Systems digital strategy</t>
  </si>
  <si>
    <t>12/07/24 - Marie would like David to pick this up, but not as high priority as other items.</t>
  </si>
  <si>
    <t>CA113_2425</t>
  </si>
  <si>
    <t>Respond to year end 2024/25 Ad Hoc dataset requests</t>
  </si>
  <si>
    <t>70_b</t>
  </si>
  <si>
    <t>Phase 2: Further utilisation and enhancement</t>
  </si>
  <si>
    <t>Phase 2 will involve a follow-up meeting with Payroll and the Access Group to explore how the enhanced filtering can better support the team.</t>
  </si>
  <si>
    <t>31/10/25 - Removed as AG have rolled this out to all clients so we've missed the opportunity to influence. Will be reviewed under Payroll Health Check.
10/10/25 - Kevin has chased Tracy for an update; MarieC to follow up with Claire D'Mellow to try and get ball rolling again. This could potentially be picked up by another member of Payroll team, e.g. Jo Taylor - HR Systems just need someeedback from Payroll to give to Access Group.  
08/08/25 - Tracy to schedule a meeting mid-Sept. 
20/06/25 - From Nik: Phase 1 is complete and live. Phase 2 will involve a follow-up meeting with Tracy Roberts (Payroll Manager) and the Access Group to explore how the enhanced filtering can better support the team. This meeting will be scheduled once Tracy and her team return from the August holiday period. The goal is to maintain momentum and ensure the right resources are in place for the next phase.</t>
  </si>
  <si>
    <t>- Awaiting responses from both Tracy Roberts – confirmation that this will take place at the end of August and Alan Quirke (Access Group) to confirm availability and next steps. Contact has been made - awaiting response.</t>
  </si>
  <si>
    <t>H&amp;S Call Tracking</t>
  </si>
  <si>
    <t>H&amp;S Call Tracking Project</t>
  </si>
  <si>
    <t>ePloy implementation (TSS Payroll Interface)</t>
  </si>
  <si>
    <t>TSS Payroll Interface Project</t>
  </si>
  <si>
    <t>ePloy</t>
  </si>
  <si>
    <t>this can be removed, until we can add it back in if funding ever becomes available. But it is not included in the 3-year settlement bid, so not until 2010, unless it becomes a priority and they find funds elsewhere.</t>
  </si>
  <si>
    <t>Theme</t>
  </si>
  <si>
    <t>Principle</t>
  </si>
  <si>
    <t>Detail</t>
  </si>
  <si>
    <t>People</t>
  </si>
  <si>
    <t>Development</t>
  </si>
  <si>
    <t>We ensure our staff are supported and trained to deal with the requirements of their job and perform at the highest level of professionalism, with a focus on professional development and access to professional communities.</t>
  </si>
  <si>
    <t>Inclusion</t>
  </si>
  <si>
    <t>We embed a supportive, inclusive culture and increase the diversity of staff at all levels.</t>
  </si>
  <si>
    <t>Workload and wellbeing</t>
  </si>
  <si>
    <t>We place the workload and wellbeing of staff at the heart of our planning, ensuring that the demands placed on our staff are sustainable and that activity is appropriately prioritised – recognising that not all demands can be met</t>
  </si>
  <si>
    <t>Collaboration</t>
  </si>
  <si>
    <t>Working in partnership</t>
  </si>
  <si>
    <t>We understand the implications of our decisions for other parts of the collegiate University, using the divisions as a bridge to ensure appropriate engagement between departments and the central University.</t>
  </si>
  <si>
    <t>Transparency</t>
  </si>
  <si>
    <t>We ensure that the true cost (both people and resource) of activities is visible and understood for all elements of a service.</t>
  </si>
  <si>
    <t>Strategic alignment</t>
  </si>
  <si>
    <t>We ensure that our activities are in line with University strategies – recognising the need to reflect local circumstances.</t>
  </si>
  <si>
    <t>Quality</t>
  </si>
  <si>
    <t>Needs of stakeholders</t>
  </si>
  <si>
    <t>We ensure that the needs of our students, academics, and other stakeholders are at the heart of our decision-making.</t>
  </si>
  <si>
    <t>Continuous improvement</t>
  </si>
  <si>
    <t>We review, refresh and improve our services in line with academic needs, ensuring that changes reduce complexity and make services simpler for all users to engage with wherever possible.</t>
  </si>
  <si>
    <t>Data</t>
  </si>
  <si>
    <t>We use data to support effective decision-making, whilst ensuring that appropriate data collection and governance is a part of any development in service delivery or practice.</t>
  </si>
  <si>
    <t>Value for money</t>
  </si>
  <si>
    <t>We demonstrate value for money in both our ‘business as usual’ activities and new projects.</t>
  </si>
  <si>
    <t>Commitments</t>
  </si>
  <si>
    <t>Priorities</t>
  </si>
  <si>
    <t>Education</t>
  </si>
  <si>
    <t>To attract and admit students
from all backgrounds with
outstanding academic potential and the ability to benefit from an Oxford education</t>
  </si>
  <si>
    <t>1. Set ambitious targets by April 2019 to substantially increase by 2023 the number of undergraduate places offered to students from groups who are currently under-represented at Oxford.
2. Aim to create by 2023 an additional 300 graduate scholarships. 
3. Set ambitious targets by April 2019 to reduce by 2023 gaps in attainment by gender, ethnic origin and socio-economic background.
4. Aim to increase by 2023 undergraduate student intake by up to 200 a year, with a focus on strategically important subjects areas including computer science, engineering, biomedical science and joint degrees in economics.
5. Aim to increase by 2023 postgraduate taught student intake by up to 450 a year and postgraduate research student intake by up to 400 a year, while maintaining quality.
6. Aim to offer by 2023 an additional 2,000 funded internships for students at all levels.
7. By 2023, in partnership with the private sector, to have started the construction of 1,000 additional graduate rooms including the establishment of at least one new graduate college.</t>
  </si>
  <si>
    <t xml:space="preserve">To offer an excellent academic experience for all our students and ensure that Oxford fully equips graduates to excel in whatever they choose to do </t>
  </si>
  <si>
    <t>To retain and refresh the collegiate University’s rich academic environment</t>
  </si>
  <si>
    <t>Research</t>
  </si>
  <si>
    <t>To promote and enable ambitious research of exceptional quality</t>
  </si>
  <si>
    <t>8. Enhance the opportunities and support for early-career researchers. 
9. Invest substantially in the research environment, both human and physical (including the estate, libraries, collections, equipment and IT) by 2023. 
10. Increase the scale and scope of our central research fund to grow our capacity to pump-prime, and match-fund major research initiatives. 
11. Engage with business, NGOs and others to grow the volume and value of non-public-sector-funded research on a sustainable basis.
12. Continue to broaden and invest in our innovation activities and foster the entrepreneurial environment for staff and students.</t>
  </si>
  <si>
    <t>To invest in people, to support them and their research environment, thereby enabling the research endeavour to grow sustainably</t>
  </si>
  <si>
    <t>To change the world for the better</t>
  </si>
  <si>
    <t>To attract, recruit and retain the
highest calibre staff</t>
  </si>
  <si>
    <t>13. Embed a supportive, inclusive culture and increase the diversity of University staff at all levels through the implementation of our action plans such as Athena SWAN, the Race Equality Charter, the Stonewall Workplace Equality Index and Mindful Employer.
14. Ensure that Oxford remains an attractive place to work, taking into consideration the work environment, housing, childcare, visas, pensions and salary.
15. Create a policy and practice environment that is supportive of wellbeing, where responsibility for wellbeing is shared and owned by all.
16. Put in place creative and consistent measures to help our staff to balance competing demands on their time, both within their roles and between their working and home lives, including developing our childcare provision and flexible working policies, and enabling academic staff to vary their duties over the course of their career.
17. Develop an equitable and transparent means of allocating new affordable homes for University and college staff (see priority 28).
18. Review and improve our current arrangements to support the personal and career development of all staff.</t>
  </si>
  <si>
    <t>To work towards an increasingly
diverse staffing profile</t>
  </si>
  <si>
    <t>To support staff in personal and
professional development</t>
  </si>
  <si>
    <t>Engagement and partnership</t>
  </si>
  <si>
    <t>To work with partners to create a world-class regional innovation ecosystem</t>
  </si>
  <si>
    <t>19. Expansion of the innovation districts in and around Oxford, including at Begbroke Science Park and Osney Mead.
20. Continued investment in digital tools and infrastructure to be a leader in open scholarship and support open access to collections and research data outputs.
21. Continue to improve the breadth and depth of public engagement through events and programmes delivered through multiple mechanisms, including the academic divisions and the Gardens, Libraries and Museums (GLAM).
22. Expand strategic international research collaborations. 
23. Support and expand international mobility opportunities for undergraduate and postgraduate students including non-term-time internships and on-course opportunities to study, undertake research or gain work experience abroad.
24. Inform, empower and mobilise alumni to become more knowledgeable and involved in support of the wider University.</t>
  </si>
  <si>
    <t>To build a stronger and more constructive relationship with our local and regional community</t>
  </si>
  <si>
    <t>To engage with the public and policy makers to shape our research and education and to encourage the widest possible use of our research findings and expertise</t>
  </si>
  <si>
    <t xml:space="preserve">Through our international engagement the University will aim to maximise the global social, cultural and economic benefit derived from our research and scholarship </t>
  </si>
  <si>
    <t>Resources</t>
  </si>
  <si>
    <t>To manage our financial resources
to ensure the collegiate University’s
long-term sustainability</t>
  </si>
  <si>
    <t>25. Diversify sources of income and investment including through partnership with the private sector, commercial activities, philanthropy and the breadth of sources of research funding.
26. Through the Focus programme deliver service and process improvements to allow the continued growth in research and education without an equivalent growth in service costs.
27. Deliver a capital investment programme in the estate and IT of at least £500 million by 2023. 
28. By 2023, in partnership with the private sector, to have started the construction of at least 1,000 new subsidised homes for University and college staff.
29. Devise and implement a development strategy, appropriately resourced, which accords with the scale and ambition of the University’s strategic objectives.</t>
  </si>
  <si>
    <t>To ensure that our estate provides
an environment which promotes
world-class research and education
whilst minimising our environmental
impact, conserving our historic
built environment and improving
our space utilisation</t>
  </si>
  <si>
    <t>To continue to invest in our
information technology capability to
enhance the quality of our research
and education and to streamline our
administrative processes</t>
  </si>
  <si>
    <t>To raise funds to support the very
best students, invest in our staff
and their work, and provide new
resources and infrastructure</t>
  </si>
  <si>
    <t>Link to Univeristy Priority</t>
  </si>
  <si>
    <t>Supporting the academic mission</t>
  </si>
  <si>
    <t>Strategic Plan Mission: The advancement of learning by teaching and research and its dissemination by every means</t>
  </si>
  <si>
    <t xml:space="preserve"> Recruitment and Retention</t>
  </si>
  <si>
    <t xml:space="preserve">To ensure that Oxford remains an attractive place to work, taking into consideration the work environment, housing and childcare. </t>
  </si>
  <si>
    <t>Wellbeing and workload in balance</t>
  </si>
  <si>
    <t>To put in place creative and consistent measures to help our staff to balance competing demands on their time, both within their roles and between their working and home lives, including developing our childcare provision and flexible working policies, and enabling academic staff to vary their duties over the course of their career.</t>
  </si>
  <si>
    <t>Create a policy and practice environment that is supportive of wellbeing, where responsibility for wellbeing is shared and owned by all.</t>
  </si>
  <si>
    <t xml:space="preserve"> Developing diversity</t>
  </si>
  <si>
    <t xml:space="preserve">To embed a supportive, inclusive culture and increase the diversity of University staff at all levels, through the implementation of action plans such as Athena SWAN, the Race Equality Charter, the Stonewall Workplace Equality Index and Mindful Employer </t>
  </si>
  <si>
    <t>People and Organisational Development</t>
  </si>
  <si>
    <t xml:space="preserve">To review and improve our current arrangements to support the personal and career development of all staff. </t>
  </si>
  <si>
    <t xml:space="preserve"> Reward and benefits</t>
  </si>
  <si>
    <t xml:space="preserve">Develop an equitable and transparent means of allocating new affordable homes for University and college staff. </t>
  </si>
  <si>
    <t>Themes</t>
  </si>
  <si>
    <t>Delivery and People</t>
  </si>
  <si>
    <t>Review, with the aim of improving, IT delivery models in the University; providing clarity on what is provided to each user and ensuring support is focussed on what is most efficient, effective, and reliable at the organisational level at which it is offered (college, department, division, central, combining both internal and external providers)</t>
  </si>
  <si>
    <t>Agree and apply a consistent standard of IT service management for all who provide IT to the University, together with a consolidated catalogue of applications approved for use within the University.</t>
  </si>
  <si>
    <t>Provide a better IT experience for staff and students by developing an expert IT support community willing to work with colleagues across the University to develop and deliver services; and sustain successful IT delivery through the development of cross-University career progression paths that encompass
the changing models of IT delivery.</t>
  </si>
  <si>
    <t>Support changing patterns in how our staff and students work by providing seamless access to, and sharing knowledge about the effective use of, IT facilities that enable remote, hybrid, and flexible working patterns, and international collaboration. Map out a vision  or how IT might enable the working practices of the future for teaching, learning, research, administration and service delivery.</t>
  </si>
  <si>
    <t xml:space="preserve">Improve the working environment by joining-up Estates and IT functions for the provision and support of audio-visual facilities in teaching and research spaces, together with developing, and keeping current, standards for IT systems integral to the use and management of University buildings. </t>
  </si>
  <si>
    <t xml:space="preserve">Increase the availability and reliability of services through defined ownership and operational responsibility, robust service continuity and recovery planning, together with prioritising the consolidation, virtualisation, and automation of the University IT estate. </t>
  </si>
  <si>
    <t>Build confidence and increase capability within the University IT community to understand, assess, and share the impact of both new directions in research and education on IT requirements, and advances in technology on the delivery of IT (whether by internal or external providers).</t>
  </si>
  <si>
    <t>ENGAGEMENT AND PARTNERSHIP</t>
  </si>
  <si>
    <t xml:space="preserve">Strengthen the partnerships between University IT providers by implementing frameworks which make best use of specialist local IT knowledge, and the resilience and economies of scale offered by IT providers at a divisional or central level; and enable local IT staff to make better use of shared service management tools. </t>
  </si>
  <si>
    <t>Identify opportunities and build trust between specific user areas and central IT providers by implementing a formal framework of business partners.</t>
  </si>
  <si>
    <t>Develop processes to regularly review IT service provision at all levels to ensure those services continue to satisfy the needs of users, with a particular focus on teaching and research.</t>
  </si>
  <si>
    <t>Build on existing links with external groups to understand industry trends and good practice and share this internally through interest groups, conferences, workshops, and other means.</t>
  </si>
  <si>
    <t>Put in place tools and processes to allow users to highlight and, where appropriate take forward new initiatives or service improvements.</t>
  </si>
  <si>
    <t>INFORMATION SECURITY</t>
  </si>
  <si>
    <t>Raise awareness, educate users, and share good working practice through readily available and understandable guidance and advice.</t>
  </si>
  <si>
    <t>Adopt a risk-based approach that recognises the benefits of security, and which integrates security governance, risk, and compliance into the University’s existing structures to improve visibility and commitment.</t>
  </si>
  <si>
    <t>Increase the maturity and automation of key processes; drive toward holistic monitoring, develop knowledge banks, and introduce regular reporting of metrics across the security portfolio.</t>
  </si>
  <si>
    <t>Instil ‘security by design’ and ‘privacy by default’ into all IT projects, ensuring core principles are adopted at the start of new initiatives.</t>
  </si>
  <si>
    <t>Advance information security preparedness to streamline application for research opportunities, identifying appropriate frameworks and certifications to assist.</t>
  </si>
  <si>
    <t>Review information assets and ensure an appropriate security policy framework exists. This should include proportionate controls designed for people, processes, and technology to reduce the risk against those assets to a determined level (based on damage to confidentiality, integrity, or availability).</t>
  </si>
  <si>
    <t>Develop the underpinning University-wide authentication method, surrounding security systems, and supporting guidance to increase protection in the new hybrid environment.</t>
  </si>
  <si>
    <t>GOVERNANCE AND FINANCE</t>
  </si>
  <si>
    <t>Review IT governance at all levels ensuring processes and structures support timely and transparent decision-making, and effective prioritisation of IT initiatives in support of the University strategy.</t>
  </si>
  <si>
    <t>Launch a new simplified methodology for central projects, that allows for approval of investment only after sign-off on capacity to deliver, sustainability, cost impact across the University, and realisation of benefits.</t>
  </si>
  <si>
    <t>Review allocation of central service funding and charging models to allow all units to engage with University-wide solutions.</t>
  </si>
  <si>
    <t xml:space="preserve">Review capital investment levels in IT and allocation methods to ensure the University can achieve its strategic objectives, match offerings by its peers, and that divisional-led activities can be supported. </t>
  </si>
  <si>
    <t>Across all levels of the University monitor the benefits of investment in IT, report on service performance, customer satisfaction, and return on investment, and in so doing increase the general understanding of the value of IT.</t>
  </si>
  <si>
    <t>Develop mechanisms to ensure alignment between central project spend and operational budgets to ensure service sustainability.</t>
  </si>
  <si>
    <t>Increase benefits from suppliers by improving cross-University vendor management and purchasing processes to improve value for money, informed spending decisions, and visibility of supplier engagement.</t>
  </si>
  <si>
    <t>TECHNOLOGY</t>
  </si>
  <si>
    <t>Improve the end user experience by ensuring that staff and students are supported in their day-to-day activities by making new/current services accessible, seamless, usable, flexible, and appropriately feature rich.</t>
  </si>
  <si>
    <t>Establish an efficient and transparent method of determining whether the University is best served by in house or third-party provision.</t>
  </si>
  <si>
    <t>Create strategic roadmaps and decision frameworks for key elements of the technology architecture to derive greater value from existing technologies, reduce our environmental impact, and exploit new opportunities.</t>
  </si>
  <si>
    <t>Develop the capability to integrate standard applications through well-defined and published application interfaces in an efficient, secure, compliant, and reliable way.</t>
  </si>
  <si>
    <t>Target the removal of legacy components that represent a barrier to hybrid modes of working and the adoption of technical guidelines, architectural principles, reference architectures, and application catalogues.</t>
  </si>
  <si>
    <t>DATA</t>
  </si>
  <si>
    <t>For administrative data ensure clarity, accuracy, completeness, compliance, and availability of data by identifying and supporting data stewards to take responsibility for their respective datasets.</t>
  </si>
  <si>
    <t>Enable all relevant parties to know what administrative data we have, and how to retrieve and use it, by ensuring that clear data governance, easy to use tools and technology, and appropriate levels of support are in place.</t>
  </si>
  <si>
    <t>Provide researchers with secure, compliant, affordable and easy to use data storage facilities that integrate across the entire research data management lifecycle.</t>
  </si>
  <si>
    <t>Enable Bodleian Libraries to support open scholarship to facilitate the sharing and publication of datasets and outputs from research.</t>
  </si>
  <si>
    <t>Facilitate data interoperability across administrative IT systems irrespective of technology or location by creating clear data models and data maps for shared data.</t>
  </si>
  <si>
    <t xml:space="preserve">Improve decision making through providing intuitive tools, as well as training and consultancy where required, for the creation and sharing of operational, management, and business intelligence reports. </t>
  </si>
  <si>
    <t>INNOVATION</t>
  </si>
  <si>
    <t>Integrate digital innovation with other entrepreneurial support schemes across the University.</t>
  </si>
  <si>
    <t>Develop a resourcing model to support and sustain IT innovation across the University.</t>
  </si>
  <si>
    <t>Facilitate staff and students to generate and share new ideas through a University-wide community of digital innovators.</t>
  </si>
  <si>
    <t>Create a ‘digital innovation space’ to allow users to explore and showcase emerging technologies.</t>
  </si>
  <si>
    <t xml:space="preserve">Review emerging technologies to shape future development, training opportunities, and funding allocation. </t>
  </si>
  <si>
    <t>Guiding IT Strategy Principles</t>
  </si>
  <si>
    <t>Principles</t>
  </si>
  <si>
    <t>Research and education</t>
  </si>
  <si>
    <t>IT will be used to support, enhance, and transform research and education at the University.</t>
  </si>
  <si>
    <t>Planned, predictable and flexible delivery</t>
  </si>
  <si>
    <t>IT providers will aim for the continuous improvement, compliance, and predictable delivery of services and projects. They will take opportunities offered to transform our service offering.</t>
  </si>
  <si>
    <t>Security and privacy</t>
  </si>
  <si>
    <t>Users will enjoy services with appropriate levels of confidentiality, integrity, and availability built-in from the start (i.e. ‘security by design’ and ‘privacy by default’).</t>
  </si>
  <si>
    <t>Appropriate delivery</t>
  </si>
  <si>
    <t>IT delivery will be based on a concept of ‘fit for purpose’ in most areas with providers offering appropriate solutions at reasonable cost. High specification or custom solutions will be reserved for areas that enhance the University’s competitive standing.</t>
  </si>
  <si>
    <t>Common solutions and simplification</t>
  </si>
  <si>
    <t>IT providers will adhere to agreed overarching architectural principles and standards and will by default seek common solutions. There will be a drive to simplify processes, and reduce inefficiency and duplication.</t>
  </si>
  <si>
    <t>Collaboration is key</t>
  </si>
  <si>
    <t>IT providers across the University and beyond will collaborate to provide effective solutions, and will work with stakeholders to ensure their needs are accommodated.</t>
  </si>
  <si>
    <t>Prioritisation of projects:</t>
  </si>
  <si>
    <t>The University will seek to prioritise IT initiatives that:
1. focus initially on keeping existing services running, reliable, and stable (Run) but allow for increasing investment in Grow and Transform activities 
2. improve the user experience of staff and students especially in hybrid modes of working, and progress our service offering in areas of competitive advantage (e.g. teaching, learning, and research)
3. make use of, or seek to develop a common solution; lead to a consolidation of services; or yield resource efficiencies 
4. improve awareness and skill level of staff and students in critical areas 
5. minimise the burden on recurrent costs and users 
6. are essential to directly enable a key objective in the University Strategic Plan.</t>
  </si>
  <si>
    <t>27/03/26 - Ant completed, sending to Sarah Rowles to check and to send to Lomin
13/03/26 - Marie chased Lomin and Ant has the information he needs. 
06/03/26 - Ant hasn't received the questionnaire from Lomin
 30/01/26 - Lomin confirmed timing of this year's return - questions to us on 30/1 and deadline for our response 27/3.</t>
  </si>
  <si>
    <t>- Sarah to complete dataset following UAT feedback
- UAT to be completed by HR Systems Team</t>
  </si>
  <si>
    <t>- Athena should complete Gender Pay register by next week</t>
  </si>
  <si>
    <t>27/03/2026 - Nathan completed this on 23rd</t>
  </si>
  <si>
    <t>- Jasmin to confirm deadlines
- Marie C to follow up with Sarah</t>
  </si>
  <si>
    <t>- Athena to run March payroll today.
Report run in March and April, and then analysis done May - July</t>
  </si>
  <si>
    <t>- Requirements Analysis of changes for 2025/26 (specifically)
- Kevin to chase AG / Sarah
- Sarah to explore cloning UOXU with Kevin / Michael
- HESA Module updated in UAT environments on 15 April</t>
  </si>
  <si>
    <t>-Populate with more precice deadlines and task assignments
- Still waiting on HESA dates to be released by JISC</t>
  </si>
  <si>
    <t>- Comms planned and Chris to review
- Nathan to share dashboard with Divisional REF project managers</t>
  </si>
  <si>
    <t>- MC to set up a meeting with Natasha to discuss the pilot rollout to departments.
- MC to set up a meeting with Halo CRM programme team to understand security around ER CRM
- MC to talk to Cath Farrow</t>
  </si>
  <si>
    <t>- Kathryn and Tracy to complete the guidance updates by 1st April
- Simon to review dashboard and make any updates 7th - 14th April to align with guidance and policy updates, and legislative updates to 6 month employment rights.
- John Clegg to line up UAT members by 17th April
- UAT 20th April to 15th May
- 18th - 29th May gather feedback and include in paper to PCOB
- 1st June - paper submitted to PCOB
- June 16th PCOB meeting
- Paper then drafted for July People Committee</t>
  </si>
  <si>
    <t>27/03/26 - Michelle drafted comms plan. AG have met with SB to discuss requirements and have quoted.
27/02/26 - SB has completed testing, all defects have now been resolved and we are ready to start preparing for a live cleardown.
13/02/26 - AG are clearing down in UOXZ - clearing 1 year's data per day. Should be complete by next Friday.
06/02/26 - SB has taken data extracts from UOXZ, ready for cleardown test.
30/01/26 - SB has tested the fix that AG implemented, it hasn't worked. It resolved the issue for 2 of the columns in one of the two views but that's it. Access Group have suggested taking a cut of data from UOXZ, doing a full cleardown in there and then establishing the full extent of the issue. 
23/01/26 - AG released a fix to one of the issues raised, upon testing it appears that the fix has worked on only two columns.
12/12/25 - SB has completed UOXC testing, and identified some issues which have been raised with Access Group for resolution (1. a data issue where genuinely appointed applicants don't have the right flags in the back end which means they will be incorrectly cleared and 2. an issue where old iterations of the cleardown process didn't tidy up all the data properly leaving orphaned documents with no associated applicant record remaining in the database). AG have responded as of this morning, now awaiting SB's response after return from leave.
19/11/25 - all issues with archive tables have now been resolved. Improved processes for tracking where applicant records have been deleted from source have been implemented. UOXC cleardown has been kicked off but stalled on the first try. Johanna Cotter at Access Group is re-running independently to see if there are any errors. 
14/11/25 - Yunli has rebuilt the historical tables.
24/10/25 - Tim Currie has reviewed the dashboard and is happy
10/10/25 - SB has added Job Description to PBI workbook and shared draft workbook with Staff Immigration Team. Currently testing historical data.
30/09/25 - DRAM have added Job Description to DWH
12/09/25 - SB updated FA team on progress and next steps. Will reach out to the team for a second pair of eyes on testing.
20/06/25 - Yunli has set up historic tables in DEV and TEST which point at UOXC. Nik has set up the right to be forgotten functionality in UOXC so that one record can be deleted so we can test if a refresh retains the data in the historical tables but deleted from the other tables. 
13/06/25 - Marie signed off Flexpoints quote for data cleardown work in UOXP 
28/02/25 - Initial testing in UOXZ looks good, the cleardown has worked, the fixes now retain the correct applicants in the database. Unable to thoroughly test the fixes to the applicant diversity retention due to an error in the script so will need to test again in UOXUC or UOXU. Access Group now asking us to pay for the database reclaim via flexpoints so unable to progress the assessment of the database size impact.
10/02/25 - AG have provided a fix for the cleardown issue, testing will begin again now.
08/03/24 - SB chased AG for update on fix this morning. 
23/08/23 - AG have confirmed a fix is due for the main issue. The project team are also working to produce data in an archive so once this is done we will need to build a dashboard for SIT to check their figures, we also need to pick up the issues around the cleardown script which Ed O'Flynn was working on. Expect to pick parts of this back up in October (dashboard creations)
Currently waiting on AG to implement fixes to the issues raised. Also work to be done on data retention, consultation, communication etc. Could potentially break this one out into separate activities?</t>
  </si>
  <si>
    <t>- Marie to sign off Access Group quote for data cleansing 
- Marie and Simon to review comms plan and draft emails.</t>
  </si>
  <si>
    <t>1704/2026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</si>
</sst>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
  </numFmts>
  <fonts count="12"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u/>
      <sz val="11"/>
      <color theme="10"/>
      <name val="Calibri"/>
      <family val="2"/>
      <scheme val="minor"/>
    </font>
    <font>
      <b/>
      <i/>
      <sz val="11"/>
      <color theme="0"/>
      <name val="Calibri"/>
      <family val="2"/>
      <scheme val="minor"/>
    </font>
    <font>
      <sz val="11"/>
      <name val="Calibri"/>
      <family val="2"/>
      <scheme val="minor"/>
    </font>
    <font>
      <b/>
      <sz val="11"/>
      <color theme="1"/>
      <name val="Calibri"/>
      <family val="2"/>
      <scheme val="minor"/>
    </font>
    <font>
      <b/>
      <sz val="12"/>
      <color theme="1"/>
      <name val="Calibri"/>
      <family val="2"/>
      <scheme val="minor"/>
    </font>
    <font>
      <b/>
      <sz val="12"/>
      <color theme="0"/>
      <name val="Calibri"/>
      <family val="2"/>
      <scheme val="minor"/>
    </font>
    <font>
      <sz val="11"/>
      <color rgb="FF000000"/>
      <name val="Calibri"/>
      <family val="2"/>
    </font>
    <font>
      <b/>
      <sz val="11"/>
      <color rgb="FF000000"/>
      <name val="Calibri"/>
      <family val="2"/>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7"/>
        <bgColor indexed="64"/>
      </patternFill>
    </fill>
    <fill>
      <patternFill patternType="solid">
        <fgColor theme="2"/>
        <bgColor indexed="64"/>
      </patternFill>
    </fill>
    <fill>
      <patternFill patternType="solid">
        <fgColor theme="5" tint="0.79998168889431442"/>
        <bgColor indexed="64"/>
      </patternFill>
    </fill>
    <fill>
      <patternFill patternType="solid">
        <fgColor theme="4" tint="-0.49998474074526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rgb="FF00B050"/>
        <bgColor indexed="64"/>
      </patternFill>
    </fill>
    <fill>
      <patternFill patternType="solid">
        <fgColor theme="8" tint="0.79998168889431442"/>
        <bgColor indexed="64"/>
      </patternFill>
    </fill>
  </fills>
  <borders count="32">
    <border>
      <left/>
      <right/>
      <top/>
      <bottom/>
      <diagonal/>
    </border>
    <border>
      <left style="thin">
        <color rgb="FF002060"/>
      </left>
      <right style="thin">
        <color theme="0" tint="-0.249977111117893"/>
      </right>
      <top style="thin">
        <color rgb="FF002060"/>
      </top>
      <bottom style="thin">
        <color theme="0" tint="-0.249977111117893"/>
      </bottom>
      <diagonal/>
    </border>
    <border>
      <left/>
      <right style="thin">
        <color theme="0" tint="-0.249977111117893"/>
      </right>
      <top style="thin">
        <color rgb="FF002060"/>
      </top>
      <bottom style="thin">
        <color theme="0" tint="-0.249977111117893"/>
      </bottom>
      <diagonal/>
    </border>
    <border>
      <left style="thin">
        <color theme="0" tint="-0.249977111117893"/>
      </left>
      <right style="thin">
        <color theme="0" tint="-0.249977111117893"/>
      </right>
      <top style="thin">
        <color rgb="FF002060"/>
      </top>
      <bottom style="thin">
        <color theme="0" tint="-0.249977111117893"/>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6" tint="0.39994506668294322"/>
      </left>
      <right style="thin">
        <color theme="6" tint="0.39994506668294322"/>
      </right>
      <top style="thin">
        <color theme="6" tint="0.39994506668294322"/>
      </top>
      <bottom style="thin">
        <color theme="6" tint="0.39994506668294322"/>
      </bottom>
      <diagonal/>
    </border>
    <border>
      <left style="thin">
        <color indexed="64"/>
      </left>
      <right style="thin">
        <color indexed="64"/>
      </right>
      <top style="thin">
        <color indexed="64"/>
      </top>
      <bottom style="thin">
        <color indexed="64"/>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diagonal/>
    </border>
    <border>
      <left style="medium">
        <color theme="0" tint="-0.499984740745262"/>
      </left>
      <right style="thin">
        <color theme="0" tint="-0.499984740745262"/>
      </right>
      <top/>
      <bottom/>
      <diagonal/>
    </border>
    <border>
      <left style="medium">
        <color theme="0" tint="-0.499984740745262"/>
      </left>
      <right style="thin">
        <color theme="0" tint="-0.499984740745262"/>
      </right>
      <top/>
      <bottom style="medium">
        <color theme="0"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thin">
        <color indexed="64"/>
      </left>
      <right style="thin">
        <color indexed="64"/>
      </right>
      <top/>
      <bottom/>
      <diagonal/>
    </border>
  </borders>
  <cellStyleXfs count="3">
    <xf numFmtId="0" fontId="0" fillId="0" borderId="0"/>
    <xf numFmtId="9" fontId="1" fillId="0" borderId="0" applyFont="0" applyFill="0" applyBorder="0" applyAlignment="0" applyProtection="0"/>
    <xf numFmtId="0" fontId="4" fillId="0" borderId="0" applyNumberFormat="0" applyFill="0" applyBorder="0" applyAlignment="0" applyProtection="0"/>
  </cellStyleXfs>
  <cellXfs count="199">
    <xf numFmtId="0" fontId="0" fillId="0" borderId="0" xfId="0"/>
    <xf numFmtId="0" fontId="0" fillId="0" borderId="0" xfId="0" applyAlignment="1">
      <alignment wrapText="1"/>
    </xf>
    <xf numFmtId="0" fontId="0" fillId="0" borderId="0" xfId="0" applyAlignment="1">
      <alignment vertical="top" wrapText="1"/>
    </xf>
    <xf numFmtId="14" fontId="0" fillId="0" borderId="0" xfId="0" applyNumberFormat="1"/>
    <xf numFmtId="0" fontId="0" fillId="0" borderId="0" xfId="0" applyAlignment="1">
      <alignment vertical="center"/>
    </xf>
    <xf numFmtId="0" fontId="0" fillId="0" borderId="7" xfId="0" applyBorder="1"/>
    <xf numFmtId="0" fontId="0" fillId="5" borderId="7" xfId="0" applyFill="1" applyBorder="1"/>
    <xf numFmtId="0" fontId="0" fillId="6" borderId="7" xfId="0" applyFill="1" applyBorder="1"/>
    <xf numFmtId="0" fontId="0" fillId="8" borderId="7" xfId="0" applyFill="1" applyBorder="1"/>
    <xf numFmtId="0" fontId="0" fillId="0" borderId="7" xfId="0" applyBorder="1" applyAlignment="1">
      <alignment wrapText="1"/>
    </xf>
    <xf numFmtId="0" fontId="0" fillId="9" borderId="7" xfId="0" applyFill="1" applyBorder="1"/>
    <xf numFmtId="0" fontId="0" fillId="9" borderId="7" xfId="0" applyFill="1" applyBorder="1" applyAlignment="1">
      <alignment wrapText="1"/>
    </xf>
    <xf numFmtId="0" fontId="0" fillId="10" borderId="7" xfId="0" applyFill="1" applyBorder="1"/>
    <xf numFmtId="0" fontId="0" fillId="6" borderId="7" xfId="0" applyFill="1" applyBorder="1" applyAlignment="1">
      <alignment wrapText="1"/>
    </xf>
    <xf numFmtId="0" fontId="0" fillId="0" borderId="0" xfId="0" applyAlignment="1">
      <alignment vertical="top"/>
    </xf>
    <xf numFmtId="14" fontId="0" fillId="0" borderId="0" xfId="0" applyNumberFormat="1" applyAlignment="1">
      <alignment vertical="top"/>
    </xf>
    <xf numFmtId="9" fontId="0" fillId="0" borderId="0" xfId="1" applyFont="1" applyAlignment="1">
      <alignment vertical="top"/>
    </xf>
    <xf numFmtId="0" fontId="0" fillId="3" borderId="0" xfId="0" applyFill="1"/>
    <xf numFmtId="0" fontId="7" fillId="13" borderId="7" xfId="0" applyFont="1" applyFill="1" applyBorder="1"/>
    <xf numFmtId="0" fontId="7" fillId="13" borderId="7" xfId="0" applyFont="1" applyFill="1" applyBorder="1" applyAlignment="1">
      <alignment wrapText="1"/>
    </xf>
    <xf numFmtId="0" fontId="0" fillId="14" borderId="7" xfId="0" applyFill="1" applyBorder="1" applyAlignment="1">
      <alignment horizontal="left" vertical="top"/>
    </xf>
    <xf numFmtId="0" fontId="0" fillId="14" borderId="7" xfId="0" applyFill="1" applyBorder="1" applyAlignment="1">
      <alignment horizontal="left" vertical="top" wrapText="1"/>
    </xf>
    <xf numFmtId="0" fontId="0" fillId="15" borderId="7" xfId="0" applyFill="1" applyBorder="1" applyAlignment="1">
      <alignment horizontal="left" vertical="top"/>
    </xf>
    <xf numFmtId="0" fontId="0" fillId="15" borderId="7" xfId="0" applyFill="1" applyBorder="1" applyAlignment="1">
      <alignment horizontal="left" vertical="top" wrapText="1"/>
    </xf>
    <xf numFmtId="0" fontId="2" fillId="2" borderId="8" xfId="0" applyFont="1" applyFill="1" applyBorder="1" applyAlignment="1">
      <alignment horizontal="left" vertical="center" wrapText="1"/>
    </xf>
    <xf numFmtId="0" fontId="2" fillId="2" borderId="11" xfId="0" applyFont="1" applyFill="1" applyBorder="1" applyAlignment="1">
      <alignment vertical="center"/>
    </xf>
    <xf numFmtId="0" fontId="0" fillId="15" borderId="13" xfId="0" applyFill="1" applyBorder="1" applyAlignment="1">
      <alignment horizontal="center" vertical="top"/>
    </xf>
    <xf numFmtId="0" fontId="0" fillId="15" borderId="13" xfId="0" applyFill="1" applyBorder="1" applyAlignment="1">
      <alignment vertical="top" wrapText="1"/>
    </xf>
    <xf numFmtId="0" fontId="0" fillId="15" borderId="16" xfId="0" applyFill="1" applyBorder="1" applyAlignment="1">
      <alignment horizontal="center" vertical="top"/>
    </xf>
    <xf numFmtId="0" fontId="0" fillId="15" borderId="16" xfId="0" applyFill="1" applyBorder="1" applyAlignment="1">
      <alignment vertical="top" wrapText="1"/>
    </xf>
    <xf numFmtId="0" fontId="0" fillId="9" borderId="18" xfId="0" applyFill="1" applyBorder="1" applyAlignment="1">
      <alignment horizontal="center" vertical="top"/>
    </xf>
    <xf numFmtId="0" fontId="0" fillId="9" borderId="18" xfId="0" applyFill="1" applyBorder="1" applyAlignment="1">
      <alignment vertical="top" wrapText="1"/>
    </xf>
    <xf numFmtId="0" fontId="0" fillId="9" borderId="13" xfId="0" applyFill="1" applyBorder="1" applyAlignment="1">
      <alignment horizontal="center" vertical="top"/>
    </xf>
    <xf numFmtId="0" fontId="0" fillId="9" borderId="13" xfId="0" applyFill="1" applyBorder="1" applyAlignment="1">
      <alignment vertical="top" wrapText="1"/>
    </xf>
    <xf numFmtId="0" fontId="0" fillId="9" borderId="16" xfId="0" applyFill="1" applyBorder="1" applyAlignment="1">
      <alignment horizontal="center" vertical="top"/>
    </xf>
    <xf numFmtId="0" fontId="0" fillId="9" borderId="16" xfId="0" applyFill="1" applyBorder="1" applyAlignment="1">
      <alignment vertical="top" wrapText="1"/>
    </xf>
    <xf numFmtId="0" fontId="0" fillId="6" borderId="18" xfId="0" applyFill="1" applyBorder="1" applyAlignment="1">
      <alignment horizontal="center" vertical="top"/>
    </xf>
    <xf numFmtId="0" fontId="0" fillId="6" borderId="18" xfId="0" applyFill="1" applyBorder="1" applyAlignment="1">
      <alignment vertical="top" wrapText="1"/>
    </xf>
    <xf numFmtId="0" fontId="0" fillId="6" borderId="13" xfId="0" applyFill="1" applyBorder="1" applyAlignment="1">
      <alignment horizontal="center" vertical="top"/>
    </xf>
    <xf numFmtId="0" fontId="0" fillId="6" borderId="13" xfId="0" applyFill="1" applyBorder="1" applyAlignment="1">
      <alignment vertical="top" wrapText="1"/>
    </xf>
    <xf numFmtId="0" fontId="0" fillId="6" borderId="16" xfId="0" applyFill="1" applyBorder="1" applyAlignment="1">
      <alignment horizontal="center" vertical="top"/>
    </xf>
    <xf numFmtId="0" fontId="0" fillId="6" borderId="16" xfId="0" applyFill="1" applyBorder="1" applyAlignment="1">
      <alignment vertical="top" wrapText="1"/>
    </xf>
    <xf numFmtId="0" fontId="0" fillId="16" borderId="18" xfId="0" applyFill="1" applyBorder="1" applyAlignment="1">
      <alignment horizontal="center" vertical="top"/>
    </xf>
    <xf numFmtId="0" fontId="0" fillId="16" borderId="18" xfId="0" applyFill="1" applyBorder="1" applyAlignment="1">
      <alignment vertical="top" wrapText="1"/>
    </xf>
    <xf numFmtId="0" fontId="0" fillId="16" borderId="13" xfId="0" applyFill="1" applyBorder="1" applyAlignment="1">
      <alignment horizontal="center" vertical="top"/>
    </xf>
    <xf numFmtId="0" fontId="0" fillId="16" borderId="13" xfId="0" applyFill="1" applyBorder="1" applyAlignment="1">
      <alignment vertical="top" wrapText="1"/>
    </xf>
    <xf numFmtId="0" fontId="0" fillId="16" borderId="16" xfId="0" applyFill="1" applyBorder="1" applyAlignment="1">
      <alignment horizontal="center" vertical="top"/>
    </xf>
    <xf numFmtId="0" fontId="0" fillId="16" borderId="16" xfId="0" applyFill="1" applyBorder="1" applyAlignment="1">
      <alignment vertical="top" wrapText="1"/>
    </xf>
    <xf numFmtId="0" fontId="0" fillId="8" borderId="18" xfId="0" applyFill="1" applyBorder="1" applyAlignment="1">
      <alignment horizontal="center" vertical="top"/>
    </xf>
    <xf numFmtId="0" fontId="0" fillId="8" borderId="18" xfId="0" applyFill="1" applyBorder="1" applyAlignment="1">
      <alignment vertical="top" wrapText="1"/>
    </xf>
    <xf numFmtId="0" fontId="0" fillId="8" borderId="13" xfId="0" applyFill="1" applyBorder="1" applyAlignment="1">
      <alignment horizontal="center" vertical="top"/>
    </xf>
    <xf numFmtId="0" fontId="0" fillId="8" borderId="13" xfId="0" applyFill="1" applyBorder="1" applyAlignment="1">
      <alignment vertical="top" wrapText="1"/>
    </xf>
    <xf numFmtId="0" fontId="0" fillId="8" borderId="16" xfId="0" applyFill="1" applyBorder="1" applyAlignment="1">
      <alignment horizontal="center" vertical="top"/>
    </xf>
    <xf numFmtId="0" fontId="0" fillId="8" borderId="16" xfId="0" applyFill="1" applyBorder="1" applyAlignment="1">
      <alignment vertical="top" wrapText="1"/>
    </xf>
    <xf numFmtId="0" fontId="7" fillId="0" borderId="0" xfId="0" applyFont="1" applyAlignment="1">
      <alignment horizontal="left" vertical="top" wrapText="1"/>
    </xf>
    <xf numFmtId="0" fontId="0" fillId="0" borderId="0" xfId="0" applyAlignment="1">
      <alignment horizontal="center" vertical="top"/>
    </xf>
    <xf numFmtId="0" fontId="2" fillId="2" borderId="13" xfId="0" applyFont="1" applyFill="1" applyBorder="1" applyAlignment="1">
      <alignment vertical="center"/>
    </xf>
    <xf numFmtId="0" fontId="2" fillId="2" borderId="13" xfId="0" applyFont="1" applyFill="1" applyBorder="1" applyAlignment="1">
      <alignment vertical="center" wrapText="1"/>
    </xf>
    <xf numFmtId="0" fontId="7" fillId="0" borderId="13" xfId="0" applyFont="1" applyBorder="1" applyAlignment="1">
      <alignment horizontal="center" vertical="center"/>
    </xf>
    <xf numFmtId="0" fontId="0" fillId="0" borderId="13" xfId="0" applyBorder="1" applyAlignment="1">
      <alignment vertical="center"/>
    </xf>
    <xf numFmtId="0" fontId="0" fillId="0" borderId="13" xfId="0" applyBorder="1" applyAlignment="1">
      <alignment horizontal="center" vertical="center"/>
    </xf>
    <xf numFmtId="0" fontId="0" fillId="0" borderId="13" xfId="0" applyBorder="1" applyAlignment="1">
      <alignment vertical="center" wrapText="1"/>
    </xf>
    <xf numFmtId="0" fontId="2" fillId="17" borderId="8" xfId="0" applyFont="1" applyFill="1" applyBorder="1" applyAlignment="1">
      <alignment horizontal="left" vertical="center" wrapText="1"/>
    </xf>
    <xf numFmtId="0" fontId="7" fillId="15" borderId="13" xfId="0" applyFont="1" applyFill="1" applyBorder="1" applyAlignment="1">
      <alignment horizontal="center" vertical="top"/>
    </xf>
    <xf numFmtId="0" fontId="0" fillId="15" borderId="14" xfId="0" applyFill="1" applyBorder="1" applyAlignment="1">
      <alignment horizontal="left" vertical="top" wrapText="1"/>
    </xf>
    <xf numFmtId="0" fontId="7" fillId="15" borderId="16" xfId="0" applyFont="1" applyFill="1" applyBorder="1" applyAlignment="1">
      <alignment horizontal="center" vertical="top"/>
    </xf>
    <xf numFmtId="0" fontId="0" fillId="15" borderId="17" xfId="0" applyFill="1" applyBorder="1" applyAlignment="1">
      <alignment horizontal="left" vertical="top" wrapText="1"/>
    </xf>
    <xf numFmtId="0" fontId="7" fillId="9" borderId="18" xfId="0" applyFont="1" applyFill="1" applyBorder="1" applyAlignment="1">
      <alignment horizontal="center" vertical="top"/>
    </xf>
    <xf numFmtId="0" fontId="0" fillId="9" borderId="11" xfId="0" applyFill="1" applyBorder="1" applyAlignment="1">
      <alignment horizontal="left" vertical="top" wrapText="1"/>
    </xf>
    <xf numFmtId="0" fontId="7" fillId="9" borderId="13" xfId="0" applyFont="1" applyFill="1" applyBorder="1" applyAlignment="1">
      <alignment horizontal="center" vertical="top"/>
    </xf>
    <xf numFmtId="0" fontId="0" fillId="9" borderId="14" xfId="0" applyFill="1" applyBorder="1" applyAlignment="1">
      <alignment horizontal="left" vertical="top" wrapText="1"/>
    </xf>
    <xf numFmtId="0" fontId="7" fillId="9" borderId="16" xfId="0" applyFont="1" applyFill="1" applyBorder="1" applyAlignment="1">
      <alignment horizontal="center" vertical="top"/>
    </xf>
    <xf numFmtId="0" fontId="0" fillId="9" borderId="17" xfId="0" applyFill="1" applyBorder="1" applyAlignment="1">
      <alignment horizontal="left" vertical="top" wrapText="1"/>
    </xf>
    <xf numFmtId="0" fontId="7" fillId="6" borderId="18" xfId="0" applyFont="1" applyFill="1" applyBorder="1" applyAlignment="1">
      <alignment horizontal="center" vertical="top"/>
    </xf>
    <xf numFmtId="0" fontId="0" fillId="6" borderId="11" xfId="0" applyFill="1" applyBorder="1" applyAlignment="1">
      <alignment horizontal="left" vertical="top" wrapText="1"/>
    </xf>
    <xf numFmtId="0" fontId="7" fillId="6" borderId="13" xfId="0" applyFont="1" applyFill="1" applyBorder="1" applyAlignment="1">
      <alignment horizontal="center" vertical="top"/>
    </xf>
    <xf numFmtId="0" fontId="0" fillId="6" borderId="14" xfId="0" applyFill="1" applyBorder="1" applyAlignment="1">
      <alignment horizontal="left" vertical="top" wrapText="1"/>
    </xf>
    <xf numFmtId="0" fontId="7" fillId="6" borderId="16" xfId="0" applyFont="1" applyFill="1" applyBorder="1" applyAlignment="1">
      <alignment horizontal="center" vertical="top"/>
    </xf>
    <xf numFmtId="0" fontId="0" fillId="6" borderId="17" xfId="0" applyFill="1" applyBorder="1" applyAlignment="1">
      <alignment horizontal="left" vertical="top" wrapText="1"/>
    </xf>
    <xf numFmtId="0" fontId="7" fillId="16" borderId="18" xfId="0" applyFont="1" applyFill="1" applyBorder="1" applyAlignment="1">
      <alignment horizontal="center" vertical="top"/>
    </xf>
    <xf numFmtId="0" fontId="0" fillId="16" borderId="11" xfId="0" applyFill="1" applyBorder="1" applyAlignment="1">
      <alignment horizontal="left" vertical="top" wrapText="1"/>
    </xf>
    <xf numFmtId="0" fontId="7" fillId="16" borderId="13" xfId="0" applyFont="1" applyFill="1" applyBorder="1" applyAlignment="1">
      <alignment horizontal="center" vertical="top"/>
    </xf>
    <xf numFmtId="0" fontId="0" fillId="16" borderId="14" xfId="0" applyFill="1" applyBorder="1" applyAlignment="1">
      <alignment horizontal="left" vertical="top" wrapText="1"/>
    </xf>
    <xf numFmtId="0" fontId="7" fillId="16" borderId="16" xfId="0" applyFont="1" applyFill="1" applyBorder="1" applyAlignment="1">
      <alignment horizontal="center" vertical="top"/>
    </xf>
    <xf numFmtId="0" fontId="0" fillId="16" borderId="17" xfId="0" applyFill="1" applyBorder="1" applyAlignment="1">
      <alignment horizontal="left" vertical="top" wrapText="1"/>
    </xf>
    <xf numFmtId="0" fontId="7" fillId="10" borderId="18" xfId="0" applyFont="1" applyFill="1" applyBorder="1" applyAlignment="1">
      <alignment horizontal="center" vertical="top"/>
    </xf>
    <xf numFmtId="0" fontId="0" fillId="10" borderId="11" xfId="0" applyFill="1" applyBorder="1" applyAlignment="1">
      <alignment horizontal="left" vertical="top" wrapText="1"/>
    </xf>
    <xf numFmtId="0" fontId="7" fillId="10" borderId="13" xfId="0" applyFont="1" applyFill="1" applyBorder="1" applyAlignment="1">
      <alignment horizontal="center" vertical="top"/>
    </xf>
    <xf numFmtId="0" fontId="0" fillId="10" borderId="14" xfId="0" applyFill="1" applyBorder="1" applyAlignment="1">
      <alignment horizontal="left" vertical="top" wrapText="1"/>
    </xf>
    <xf numFmtId="0" fontId="7" fillId="10" borderId="16" xfId="0" applyFont="1" applyFill="1" applyBorder="1" applyAlignment="1">
      <alignment horizontal="center" vertical="top"/>
    </xf>
    <xf numFmtId="0" fontId="0" fillId="10" borderId="17" xfId="0" applyFill="1" applyBorder="1" applyAlignment="1">
      <alignment horizontal="left" vertical="top" wrapText="1"/>
    </xf>
    <xf numFmtId="0" fontId="7" fillId="18" borderId="18" xfId="0" applyFont="1" applyFill="1" applyBorder="1" applyAlignment="1">
      <alignment horizontal="center" vertical="top"/>
    </xf>
    <xf numFmtId="0" fontId="0" fillId="18" borderId="11" xfId="0" applyFill="1" applyBorder="1" applyAlignment="1">
      <alignment horizontal="left" vertical="top" wrapText="1"/>
    </xf>
    <xf numFmtId="0" fontId="7" fillId="18" borderId="13" xfId="0" applyFont="1" applyFill="1" applyBorder="1" applyAlignment="1">
      <alignment horizontal="center" vertical="top"/>
    </xf>
    <xf numFmtId="0" fontId="0" fillId="18" borderId="14" xfId="0" applyFill="1" applyBorder="1" applyAlignment="1">
      <alignment horizontal="left" vertical="top" wrapText="1"/>
    </xf>
    <xf numFmtId="0" fontId="7" fillId="18" borderId="16" xfId="0" applyFont="1" applyFill="1" applyBorder="1" applyAlignment="1">
      <alignment horizontal="center" vertical="top"/>
    </xf>
    <xf numFmtId="0" fontId="0" fillId="18" borderId="17" xfId="0" applyFill="1" applyBorder="1" applyAlignment="1">
      <alignment horizontal="left" vertical="top" wrapText="1"/>
    </xf>
    <xf numFmtId="0" fontId="7" fillId="8" borderId="18" xfId="0" applyFont="1" applyFill="1" applyBorder="1" applyAlignment="1">
      <alignment horizontal="center" vertical="top"/>
    </xf>
    <xf numFmtId="0" fontId="0" fillId="8" borderId="11" xfId="0" applyFill="1" applyBorder="1" applyAlignment="1">
      <alignment horizontal="left" vertical="top" wrapText="1"/>
    </xf>
    <xf numFmtId="0" fontId="7" fillId="8" borderId="13" xfId="0" applyFont="1" applyFill="1" applyBorder="1" applyAlignment="1">
      <alignment horizontal="center" vertical="top"/>
    </xf>
    <xf numFmtId="0" fontId="0" fillId="8" borderId="14" xfId="0" applyFill="1" applyBorder="1" applyAlignment="1">
      <alignment horizontal="left" vertical="top" wrapText="1"/>
    </xf>
    <xf numFmtId="0" fontId="7" fillId="8" borderId="16" xfId="0" applyFont="1" applyFill="1" applyBorder="1" applyAlignment="1">
      <alignment horizontal="center" vertical="top"/>
    </xf>
    <xf numFmtId="0" fontId="0" fillId="8" borderId="17" xfId="0" applyFill="1" applyBorder="1" applyAlignment="1">
      <alignment horizontal="left" vertical="top" wrapText="1"/>
    </xf>
    <xf numFmtId="0" fontId="0" fillId="0" borderId="0" xfId="0" applyAlignment="1">
      <alignment horizontal="left" vertical="top"/>
    </xf>
    <xf numFmtId="0" fontId="2" fillId="17" borderId="13" xfId="0" applyFont="1" applyFill="1" applyBorder="1" applyAlignment="1">
      <alignment vertical="center" wrapText="1"/>
    </xf>
    <xf numFmtId="0" fontId="7" fillId="0" borderId="13" xfId="0" applyFont="1" applyBorder="1" applyAlignment="1">
      <alignment vertical="center" wrapText="1"/>
    </xf>
    <xf numFmtId="0" fontId="7" fillId="3" borderId="25" xfId="0" applyFont="1" applyFill="1" applyBorder="1"/>
    <xf numFmtId="0" fontId="0" fillId="3" borderId="26" xfId="0" applyFill="1" applyBorder="1"/>
    <xf numFmtId="0" fontId="0" fillId="3" borderId="27" xfId="0" applyFill="1" applyBorder="1" applyAlignment="1">
      <alignment wrapText="1"/>
    </xf>
    <xf numFmtId="0" fontId="8" fillId="3" borderId="0" xfId="0" applyFont="1" applyFill="1"/>
    <xf numFmtId="0" fontId="0" fillId="3" borderId="0" xfId="0" applyFill="1" applyAlignment="1">
      <alignment wrapText="1"/>
    </xf>
    <xf numFmtId="0" fontId="0" fillId="0" borderId="0" xfId="0" applyAlignment="1">
      <alignment horizontal="left"/>
    </xf>
    <xf numFmtId="0" fontId="2" fillId="7" borderId="0" xfId="0" applyFont="1" applyFill="1" applyAlignment="1">
      <alignment horizontal="left" vertical="center" wrapText="1"/>
    </xf>
    <xf numFmtId="0" fontId="2" fillId="7" borderId="0" xfId="0" applyFont="1" applyFill="1" applyAlignment="1">
      <alignment vertical="center" wrapText="1"/>
    </xf>
    <xf numFmtId="14" fontId="2" fillId="12" borderId="0" xfId="0" applyNumberFormat="1" applyFont="1" applyFill="1" applyAlignment="1">
      <alignment vertical="center" wrapText="1"/>
    </xf>
    <xf numFmtId="0" fontId="2" fillId="12" borderId="0" xfId="0" applyFont="1" applyFill="1" applyAlignment="1">
      <alignment vertical="center" wrapText="1"/>
    </xf>
    <xf numFmtId="0" fontId="2" fillId="11" borderId="0" xfId="0" applyFont="1" applyFill="1" applyAlignment="1">
      <alignment vertical="center" wrapText="1"/>
    </xf>
    <xf numFmtId="9" fontId="2" fillId="11" borderId="0" xfId="1" applyFont="1" applyFill="1" applyAlignment="1">
      <alignment vertical="center" wrapText="1"/>
    </xf>
    <xf numFmtId="0" fontId="0" fillId="0" borderId="0" xfId="0" applyAlignment="1">
      <alignment vertical="center" wrapText="1"/>
    </xf>
    <xf numFmtId="0" fontId="0" fillId="0" borderId="0" xfId="0" applyAlignment="1">
      <alignment horizontal="left" vertical="center" wrapText="1"/>
    </xf>
    <xf numFmtId="14" fontId="0" fillId="0" borderId="0" xfId="0" applyNumberFormat="1" applyAlignment="1">
      <alignment vertical="center" wrapText="1"/>
    </xf>
    <xf numFmtId="0" fontId="0" fillId="0" borderId="0" xfId="0" quotePrefix="1" applyAlignment="1">
      <alignment vertical="center" wrapText="1"/>
    </xf>
    <xf numFmtId="9" fontId="0" fillId="0" borderId="0" xfId="1" applyFont="1" applyAlignment="1">
      <alignment vertical="center" wrapText="1"/>
    </xf>
    <xf numFmtId="0" fontId="0" fillId="0" borderId="0" xfId="0" applyAlignment="1">
      <alignment horizontal="left" vertical="center"/>
    </xf>
    <xf numFmtId="14" fontId="0" fillId="0" borderId="0" xfId="0" quotePrefix="1" applyNumberFormat="1" applyAlignment="1">
      <alignment vertical="center" wrapText="1"/>
    </xf>
    <xf numFmtId="0" fontId="0" fillId="0" borderId="31" xfId="0" applyBorder="1"/>
    <xf numFmtId="164" fontId="3" fillId="2" borderId="3" xfId="0" applyNumberFormat="1" applyFont="1" applyFill="1" applyBorder="1" applyAlignment="1">
      <alignment horizontal="left" vertical="center" textRotation="90"/>
    </xf>
    <xf numFmtId="0" fontId="0" fillId="4" borderId="0" xfId="0" applyFill="1" applyAlignment="1">
      <alignment horizontal="left" vertical="center"/>
    </xf>
    <xf numFmtId="0" fontId="2" fillId="11" borderId="0" xfId="0" applyFont="1" applyFill="1" applyAlignment="1">
      <alignment vertical="center"/>
    </xf>
    <xf numFmtId="0" fontId="2" fillId="2"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5"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0" fillId="3" borderId="5" xfId="0" applyFill="1" applyBorder="1" applyAlignment="1">
      <alignment horizontal="left" vertical="center" wrapText="1"/>
    </xf>
    <xf numFmtId="0" fontId="0" fillId="3" borderId="0" xfId="0" applyFill="1" applyAlignment="1">
      <alignment horizontal="left" vertical="center" wrapText="1"/>
    </xf>
    <xf numFmtId="0" fontId="6" fillId="0" borderId="5" xfId="0" applyFont="1" applyBorder="1" applyAlignment="1">
      <alignment horizontal="left" vertical="center" wrapText="1"/>
    </xf>
    <xf numFmtId="0" fontId="6" fillId="0" borderId="0" xfId="0" applyFont="1" applyAlignment="1">
      <alignment horizontal="left" vertical="center" wrapText="1"/>
    </xf>
    <xf numFmtId="0" fontId="6" fillId="0" borderId="5" xfId="0" applyFont="1" applyBorder="1" applyAlignment="1">
      <alignment horizontal="left" vertical="center"/>
    </xf>
    <xf numFmtId="0" fontId="4" fillId="0" borderId="0" xfId="2" applyAlignment="1">
      <alignment horizontal="left" vertical="center" wrapText="1"/>
    </xf>
    <xf numFmtId="0" fontId="0" fillId="0" borderId="5" xfId="0" applyBorder="1" applyAlignment="1">
      <alignment horizontal="left" vertical="center"/>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0" xfId="0" quotePrefix="1" applyAlignment="1">
      <alignment horizontal="left" vertical="center" wrapText="1"/>
    </xf>
    <xf numFmtId="0" fontId="0" fillId="14" borderId="7" xfId="0" applyFill="1" applyBorder="1" applyAlignment="1">
      <alignment horizontal="left" vertical="top"/>
    </xf>
    <xf numFmtId="0" fontId="0" fillId="15" borderId="7" xfId="0" applyFill="1" applyBorder="1" applyAlignment="1">
      <alignment horizontal="left" vertical="top"/>
    </xf>
    <xf numFmtId="0" fontId="7" fillId="16" borderId="8" xfId="0" applyFont="1" applyFill="1" applyBorder="1" applyAlignment="1">
      <alignment horizontal="left" vertical="top" wrapText="1"/>
    </xf>
    <xf numFmtId="0" fontId="7" fillId="16" borderId="12" xfId="0" applyFont="1" applyFill="1" applyBorder="1" applyAlignment="1">
      <alignment horizontal="left" vertical="top" wrapText="1"/>
    </xf>
    <xf numFmtId="0" fontId="7" fillId="16" borderId="15" xfId="0" applyFont="1" applyFill="1" applyBorder="1" applyAlignment="1">
      <alignment horizontal="left" vertical="top" wrapText="1"/>
    </xf>
    <xf numFmtId="0" fontId="0" fillId="16" borderId="11" xfId="0" applyFill="1" applyBorder="1" applyAlignment="1">
      <alignment horizontal="left" vertical="top" wrapText="1"/>
    </xf>
    <xf numFmtId="0" fontId="0" fillId="16" borderId="14" xfId="0" applyFill="1" applyBorder="1" applyAlignment="1">
      <alignment horizontal="left" vertical="top" wrapText="1"/>
    </xf>
    <xf numFmtId="0" fontId="0" fillId="16" borderId="17" xfId="0" applyFill="1" applyBorder="1" applyAlignment="1">
      <alignment horizontal="left" vertical="top" wrapText="1"/>
    </xf>
    <xf numFmtId="0" fontId="7" fillId="8" borderId="8" xfId="0" applyFont="1" applyFill="1" applyBorder="1" applyAlignment="1">
      <alignment horizontal="left" vertical="top" wrapText="1"/>
    </xf>
    <xf numFmtId="0" fontId="7" fillId="8" borderId="12" xfId="0" applyFont="1" applyFill="1" applyBorder="1" applyAlignment="1">
      <alignment horizontal="left" vertical="top" wrapText="1"/>
    </xf>
    <xf numFmtId="0" fontId="7" fillId="8" borderId="15" xfId="0" applyFont="1" applyFill="1" applyBorder="1" applyAlignment="1">
      <alignment horizontal="left" vertical="top" wrapText="1"/>
    </xf>
    <xf numFmtId="0" fontId="0" fillId="8" borderId="11" xfId="0" applyFill="1" applyBorder="1" applyAlignment="1">
      <alignment horizontal="left" vertical="top" wrapText="1"/>
    </xf>
    <xf numFmtId="0" fontId="0" fillId="8" borderId="14" xfId="0" applyFill="1" applyBorder="1" applyAlignment="1">
      <alignment horizontal="left" vertical="top" wrapText="1"/>
    </xf>
    <xf numFmtId="0" fontId="0" fillId="8" borderId="17" xfId="0" applyFill="1" applyBorder="1" applyAlignment="1">
      <alignment horizontal="left" vertical="top" wrapText="1"/>
    </xf>
    <xf numFmtId="0" fontId="2" fillId="2" borderId="9" xfId="0" applyFont="1" applyFill="1" applyBorder="1" applyAlignment="1">
      <alignment horizontal="left" vertical="center"/>
    </xf>
    <xf numFmtId="0" fontId="2" fillId="2" borderId="10" xfId="0" applyFont="1" applyFill="1" applyBorder="1" applyAlignment="1">
      <alignment horizontal="left" vertical="center"/>
    </xf>
    <xf numFmtId="0" fontId="7" fillId="15" borderId="12" xfId="0" applyFont="1" applyFill="1" applyBorder="1" applyAlignment="1">
      <alignment horizontal="left" vertical="top" wrapText="1"/>
    </xf>
    <xf numFmtId="0" fontId="7" fillId="15" borderId="15" xfId="0" applyFont="1" applyFill="1" applyBorder="1" applyAlignment="1">
      <alignment horizontal="left" vertical="top" wrapText="1"/>
    </xf>
    <xf numFmtId="0" fontId="0" fillId="15" borderId="14" xfId="0" applyFill="1" applyBorder="1" applyAlignment="1">
      <alignment horizontal="left" vertical="top" wrapText="1"/>
    </xf>
    <xf numFmtId="0" fontId="0" fillId="15" borderId="17" xfId="0" applyFill="1" applyBorder="1" applyAlignment="1">
      <alignment horizontal="left" vertical="top" wrapText="1"/>
    </xf>
    <xf numFmtId="0" fontId="7" fillId="9" borderId="8" xfId="0" applyFont="1" applyFill="1" applyBorder="1" applyAlignment="1">
      <alignment horizontal="left" vertical="top" wrapText="1"/>
    </xf>
    <xf numFmtId="0" fontId="7" fillId="9" borderId="12" xfId="0" applyFont="1" applyFill="1" applyBorder="1" applyAlignment="1">
      <alignment horizontal="left" vertical="top" wrapText="1"/>
    </xf>
    <xf numFmtId="0" fontId="7" fillId="9" borderId="15"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14" xfId="0" applyFill="1" applyBorder="1" applyAlignment="1">
      <alignment horizontal="left" vertical="top" wrapText="1"/>
    </xf>
    <xf numFmtId="0" fontId="0" fillId="9" borderId="17" xfId="0" applyFill="1" applyBorder="1" applyAlignment="1">
      <alignment horizontal="left" vertical="top" wrapText="1"/>
    </xf>
    <xf numFmtId="0" fontId="7" fillId="6" borderId="8" xfId="0" applyFont="1" applyFill="1" applyBorder="1" applyAlignment="1">
      <alignment horizontal="left" vertical="top" wrapText="1"/>
    </xf>
    <xf numFmtId="0" fontId="7" fillId="6" borderId="12" xfId="0" applyFont="1" applyFill="1" applyBorder="1" applyAlignment="1">
      <alignment horizontal="left" vertical="top" wrapText="1"/>
    </xf>
    <xf numFmtId="0" fontId="7" fillId="6" borderId="15" xfId="0" applyFont="1" applyFill="1" applyBorder="1" applyAlignment="1">
      <alignment horizontal="left" vertical="top" wrapText="1"/>
    </xf>
    <xf numFmtId="0" fontId="0" fillId="6" borderId="11" xfId="0" applyFill="1" applyBorder="1" applyAlignment="1">
      <alignment horizontal="left" vertical="top" wrapText="1"/>
    </xf>
    <xf numFmtId="0" fontId="0" fillId="6" borderId="14" xfId="0" applyFill="1" applyBorder="1" applyAlignment="1">
      <alignment horizontal="left" vertical="top" wrapText="1"/>
    </xf>
    <xf numFmtId="0" fontId="0" fillId="6" borderId="17" xfId="0" applyFill="1" applyBorder="1" applyAlignment="1">
      <alignment horizontal="left" vertical="top" wrapText="1"/>
    </xf>
    <xf numFmtId="0" fontId="2" fillId="2" borderId="13" xfId="0" applyFont="1" applyFill="1" applyBorder="1" applyAlignment="1">
      <alignment vertical="center"/>
    </xf>
    <xf numFmtId="0" fontId="0" fillId="0" borderId="13" xfId="0" applyBorder="1" applyAlignment="1">
      <alignment horizontal="left" vertical="center"/>
    </xf>
    <xf numFmtId="0" fontId="7" fillId="0" borderId="19" xfId="0" applyFont="1" applyBorder="1" applyAlignment="1">
      <alignment horizontal="center" vertical="center"/>
    </xf>
    <xf numFmtId="0" fontId="7" fillId="0" borderId="20" xfId="0" applyFont="1" applyBorder="1" applyAlignment="1">
      <alignment horizontal="center" vertical="center"/>
    </xf>
    <xf numFmtId="0" fontId="0" fillId="0" borderId="19" xfId="0" applyBorder="1" applyAlignment="1">
      <alignment horizontal="left" vertical="center"/>
    </xf>
    <xf numFmtId="0" fontId="0" fillId="0" borderId="20" xfId="0" applyBorder="1" applyAlignment="1">
      <alignment horizontal="left" vertical="center"/>
    </xf>
    <xf numFmtId="0" fontId="7" fillId="18" borderId="8" xfId="0" applyFont="1" applyFill="1" applyBorder="1" applyAlignment="1">
      <alignment horizontal="left" vertical="top" wrapText="1"/>
    </xf>
    <xf numFmtId="0" fontId="7" fillId="18" borderId="12" xfId="0" applyFont="1" applyFill="1" applyBorder="1" applyAlignment="1">
      <alignment horizontal="left" vertical="top" wrapText="1"/>
    </xf>
    <xf numFmtId="0" fontId="7" fillId="18" borderId="15" xfId="0" applyFont="1" applyFill="1" applyBorder="1" applyAlignment="1">
      <alignment horizontal="left" vertical="top" wrapText="1"/>
    </xf>
    <xf numFmtId="0" fontId="7" fillId="8" borderId="8" xfId="0" applyFont="1" applyFill="1" applyBorder="1" applyAlignment="1">
      <alignment horizontal="left" vertical="top"/>
    </xf>
    <xf numFmtId="0" fontId="7" fillId="8" borderId="12" xfId="0" applyFont="1" applyFill="1" applyBorder="1" applyAlignment="1">
      <alignment horizontal="left" vertical="top"/>
    </xf>
    <xf numFmtId="0" fontId="7" fillId="8" borderId="15" xfId="0" applyFont="1" applyFill="1" applyBorder="1" applyAlignment="1">
      <alignment horizontal="left" vertical="top"/>
    </xf>
    <xf numFmtId="0" fontId="2" fillId="17" borderId="9" xfId="0" applyFont="1" applyFill="1" applyBorder="1" applyAlignment="1">
      <alignment horizontal="left" vertical="center"/>
    </xf>
    <xf numFmtId="0" fontId="2" fillId="17" borderId="21" xfId="0" applyFont="1" applyFill="1" applyBorder="1" applyAlignment="1">
      <alignment horizontal="left" vertical="center"/>
    </xf>
    <xf numFmtId="0" fontId="7" fillId="16" borderId="22" xfId="0" applyFont="1" applyFill="1" applyBorder="1" applyAlignment="1">
      <alignment horizontal="left" vertical="top" wrapText="1"/>
    </xf>
    <xf numFmtId="0" fontId="7" fillId="16" borderId="23" xfId="0" applyFont="1" applyFill="1" applyBorder="1" applyAlignment="1">
      <alignment horizontal="left" vertical="top" wrapText="1"/>
    </xf>
    <xf numFmtId="0" fontId="7" fillId="16" borderId="24" xfId="0" applyFont="1" applyFill="1" applyBorder="1" applyAlignment="1">
      <alignment horizontal="left" vertical="top" wrapText="1"/>
    </xf>
    <xf numFmtId="0" fontId="7" fillId="10" borderId="22" xfId="0" applyFont="1" applyFill="1" applyBorder="1" applyAlignment="1">
      <alignment horizontal="left" vertical="top" wrapText="1"/>
    </xf>
    <xf numFmtId="0" fontId="7" fillId="10" borderId="23" xfId="0" applyFont="1" applyFill="1" applyBorder="1" applyAlignment="1">
      <alignment horizontal="left" vertical="top" wrapText="1"/>
    </xf>
    <xf numFmtId="0" fontId="7" fillId="10" borderId="24" xfId="0" applyFont="1" applyFill="1" applyBorder="1" applyAlignment="1">
      <alignment horizontal="left" vertical="top" wrapText="1"/>
    </xf>
    <xf numFmtId="0" fontId="9" fillId="17" borderId="13" xfId="0" applyFont="1" applyFill="1" applyBorder="1" applyAlignment="1">
      <alignment horizontal="left" vertical="center"/>
    </xf>
    <xf numFmtId="0" fontId="0" fillId="3" borderId="28" xfId="0" applyFill="1" applyBorder="1" applyAlignment="1">
      <alignment horizontal="left" vertical="top" wrapText="1"/>
    </xf>
    <xf numFmtId="0" fontId="0" fillId="3" borderId="29" xfId="0" applyFill="1" applyBorder="1" applyAlignment="1">
      <alignment horizontal="left" vertical="top" wrapText="1"/>
    </xf>
    <xf numFmtId="0" fontId="0" fillId="3" borderId="30" xfId="0" applyFill="1" applyBorder="1" applyAlignment="1">
      <alignment horizontal="left" vertical="top" wrapText="1"/>
    </xf>
  </cellXfs>
  <cellStyles count="3">
    <cellStyle name="Hyperlink" xfId="2" builtinId="8"/>
    <cellStyle name="Normal" xfId="0" builtinId="0"/>
    <cellStyle name="Percent" xfId="1" builtinId="5"/>
  </cellStyles>
  <dxfs count="368">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ont>
        <color theme="7"/>
      </font>
      <fill>
        <patternFill>
          <bgColor theme="7"/>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ont>
        <color theme="7"/>
      </font>
      <fill>
        <patternFill>
          <bgColor theme="7"/>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rgb="FFFFD5AB"/>
        </patternFill>
      </fill>
    </dxf>
    <dxf>
      <font>
        <color theme="5" tint="0.79998168889431442"/>
      </font>
      <fill>
        <patternFill>
          <bgColor rgb="FFC00000"/>
        </patternFill>
      </fill>
    </dxf>
    <dxf>
      <font>
        <color theme="1" tint="0.24994659260841701"/>
      </font>
      <fill>
        <patternFill>
          <bgColor theme="6" tint="0.79998168889431442"/>
        </patternFill>
      </fill>
    </dxf>
    <dxf>
      <font>
        <color theme="9" tint="-0.24994659260841701"/>
      </font>
      <fill>
        <patternFill>
          <bgColor theme="9" tint="0.79998168889431442"/>
        </patternFill>
      </fill>
    </dxf>
    <dxf>
      <font>
        <color theme="7"/>
      </font>
      <fill>
        <patternFill>
          <bgColor theme="7"/>
        </patternFill>
      </fill>
    </dxf>
    <dxf>
      <font>
        <color theme="3"/>
      </font>
      <fill>
        <patternFill>
          <bgColor theme="8" tint="0.59996337778862885"/>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rgb="FFFFD5AB"/>
        </patternFill>
      </fill>
    </dxf>
    <dxf>
      <font>
        <color theme="5" tint="0.79998168889431442"/>
      </font>
      <fill>
        <patternFill>
          <bgColor rgb="FFC00000"/>
        </patternFill>
      </fill>
    </dxf>
    <dxf>
      <font>
        <color theme="1" tint="0.24994659260841701"/>
      </font>
      <fill>
        <patternFill>
          <bgColor theme="6" tint="0.79998168889431442"/>
        </patternFill>
      </fill>
    </dxf>
    <dxf>
      <font>
        <color theme="9" tint="-0.24994659260841701"/>
      </font>
      <fill>
        <patternFill>
          <bgColor theme="9" tint="0.7999816888943144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
      <fill>
        <patternFill>
          <bgColor theme="5" tint="0.59996337778862885"/>
        </patternFill>
      </fill>
    </dxf>
    <dxf>
      <font>
        <color theme="2"/>
      </font>
      <fill>
        <patternFill>
          <bgColor rgb="FFC00000"/>
        </patternFill>
      </fill>
    </dxf>
    <dxf>
      <fill>
        <patternFill>
          <bgColor theme="6" tint="0.59996337778862885"/>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Workforce%20Information%20Team/Financial%20Statements%20OFS/2023-24/DRAFT_Revised_FS_timeline.xlsx" TargetMode="External"/><Relationship Id="rId1" Type="http://schemas.openxmlformats.org/officeDocument/2006/relationships/hyperlink" Target="../../../../../Workforce%20Information%20Team/Financial%20Statements%20OFS/2023-24/DRAFT_Revised_FS_timeline.xlsx"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Workforce%20Information%20Team/Financial%20Statements%20OFS/2023-24/DRAFT_Revised_FS_timeline.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8D7D0-A13F-4C18-8A5B-9549A637D7EE}">
  <sheetPr codeName="Sheet1" filterMode="1">
    <tabColor theme="9"/>
  </sheetPr>
  <dimension ref="A1:AC241"/>
  <sheetViews>
    <sheetView tabSelected="1" zoomScale="90" zoomScaleNormal="90" workbookViewId="0">
      <pane xSplit="3" ySplit="1" topLeftCell="X2" activePane="bottomRight" state="frozen"/>
      <selection pane="topRight" activeCell="D1" sqref="D1"/>
      <selection pane="bottomLeft" activeCell="A2" sqref="A2"/>
      <selection pane="bottomRight" activeCell="A219" sqref="A219"/>
    </sheetView>
  </sheetViews>
  <sheetFormatPr defaultColWidth="9.140625" defaultRowHeight="15" x14ac:dyDescent="0.25"/>
  <cols>
    <col min="1" max="1" width="14.5703125" style="119" bestFit="1" customWidth="1"/>
    <col min="2" max="2" width="34.42578125" style="118" customWidth="1"/>
    <col min="3" max="3" width="42.140625" style="118" customWidth="1"/>
    <col min="4" max="4" width="47.85546875" style="118" customWidth="1"/>
    <col min="5" max="5" width="51.85546875" style="118" customWidth="1"/>
    <col min="6" max="6" width="29.140625" style="118" customWidth="1"/>
    <col min="7" max="7" width="10.7109375" style="118" customWidth="1"/>
    <col min="8" max="8" width="13.42578125" style="118" customWidth="1"/>
    <col min="9" max="9" width="42" style="118" customWidth="1"/>
    <col min="10" max="11" width="24.7109375" style="118" customWidth="1"/>
    <col min="12" max="12" width="48.7109375" style="118" customWidth="1"/>
    <col min="13" max="13" width="20.85546875" style="118" customWidth="1"/>
    <col min="14" max="14" width="9.42578125" style="118" customWidth="1"/>
    <col min="15" max="15" width="11.28515625" style="118" customWidth="1"/>
    <col min="16" max="16" width="15.85546875" style="118" customWidth="1"/>
    <col min="17" max="17" width="14.7109375" style="118" customWidth="1"/>
    <col min="18" max="19" width="15.28515625" style="120" customWidth="1"/>
    <col min="20" max="21" width="15.42578125" style="120" customWidth="1"/>
    <col min="22" max="22" width="15.42578125" style="118" customWidth="1"/>
    <col min="23" max="23" width="103.140625" style="118" customWidth="1"/>
    <col min="24" max="24" width="41.85546875" style="118" customWidth="1"/>
    <col min="25" max="25" width="14" style="120" customWidth="1"/>
    <col min="26" max="26" width="15.28515625" style="120" bestFit="1" customWidth="1"/>
    <col min="27" max="27" width="19.42578125" style="118" customWidth="1"/>
    <col min="28" max="28" width="32.5703125" style="118" customWidth="1"/>
    <col min="29" max="29" width="17.5703125" style="122" customWidth="1"/>
    <col min="30" max="16384" width="9.140625" style="118"/>
  </cols>
  <sheetData>
    <row r="1" spans="1:29" ht="60" x14ac:dyDescent="0.25">
      <c r="A1" s="112" t="s">
        <v>0</v>
      </c>
      <c r="B1" s="113" t="s">
        <v>1</v>
      </c>
      <c r="C1" s="113" t="s">
        <v>2</v>
      </c>
      <c r="D1" s="113" t="s">
        <v>3</v>
      </c>
      <c r="E1" s="113" t="s">
        <v>4</v>
      </c>
      <c r="F1" s="113" t="s">
        <v>5</v>
      </c>
      <c r="G1" s="113" t="s">
        <v>6</v>
      </c>
      <c r="H1" s="113" t="s">
        <v>7</v>
      </c>
      <c r="I1" s="113" t="s">
        <v>8</v>
      </c>
      <c r="J1" s="113" t="s">
        <v>9</v>
      </c>
      <c r="K1" s="113" t="s">
        <v>10</v>
      </c>
      <c r="L1" s="113" t="s">
        <v>11</v>
      </c>
      <c r="M1" s="113" t="s">
        <v>12</v>
      </c>
      <c r="N1" s="113" t="s">
        <v>13</v>
      </c>
      <c r="O1" s="113" t="s">
        <v>14</v>
      </c>
      <c r="P1" s="113" t="s">
        <v>15</v>
      </c>
      <c r="Q1" s="113" t="s">
        <v>16</v>
      </c>
      <c r="R1" s="114" t="s">
        <v>17</v>
      </c>
      <c r="S1" s="114" t="s">
        <v>18</v>
      </c>
      <c r="T1" s="114" t="s">
        <v>19</v>
      </c>
      <c r="U1" s="114" t="s">
        <v>20</v>
      </c>
      <c r="V1" s="115" t="s">
        <v>21</v>
      </c>
      <c r="W1" s="116" t="s">
        <v>22</v>
      </c>
      <c r="X1" s="116" t="s">
        <v>23</v>
      </c>
      <c r="Y1" s="116" t="s">
        <v>24</v>
      </c>
      <c r="Z1" s="116" t="s">
        <v>25</v>
      </c>
      <c r="AA1" s="116" t="s">
        <v>26</v>
      </c>
      <c r="AB1" s="116" t="s">
        <v>27</v>
      </c>
      <c r="AC1" s="117" t="s">
        <v>28</v>
      </c>
    </row>
    <row r="2" spans="1:29" ht="30" hidden="1" x14ac:dyDescent="0.25">
      <c r="A2" s="142" t="s">
        <v>29</v>
      </c>
      <c r="B2" s="121" t="s">
        <v>30</v>
      </c>
      <c r="C2" s="121"/>
      <c r="D2" s="121" t="s">
        <v>31</v>
      </c>
      <c r="E2" s="121"/>
      <c r="F2" s="121" t="s">
        <v>32</v>
      </c>
      <c r="G2" s="121" t="s">
        <v>33</v>
      </c>
      <c r="H2" s="121" t="s">
        <v>34</v>
      </c>
      <c r="I2" s="121" t="s">
        <v>35</v>
      </c>
      <c r="J2" s="121" t="s">
        <v>36</v>
      </c>
      <c r="K2" s="121" t="s">
        <v>37</v>
      </c>
      <c r="L2" s="121"/>
      <c r="M2" s="121" t="s">
        <v>38</v>
      </c>
      <c r="N2" s="121" t="s">
        <v>39</v>
      </c>
      <c r="O2" s="121" t="s">
        <v>40</v>
      </c>
      <c r="P2" s="121" t="s">
        <v>41</v>
      </c>
      <c r="Q2" s="121" t="s">
        <v>42</v>
      </c>
      <c r="R2" s="124">
        <v>45292</v>
      </c>
      <c r="S2" s="124">
        <v>45744</v>
      </c>
      <c r="T2" s="124">
        <v>45744</v>
      </c>
      <c r="U2" s="121"/>
      <c r="V2" s="121" t="s">
        <v>43</v>
      </c>
      <c r="W2" s="121" t="s">
        <v>44</v>
      </c>
      <c r="X2" s="121"/>
      <c r="AA2" s="118" t="s">
        <v>45</v>
      </c>
    </row>
    <row r="3" spans="1:29" ht="105" hidden="1" x14ac:dyDescent="0.25">
      <c r="A3" s="142" t="s">
        <v>46</v>
      </c>
      <c r="B3" s="121" t="s">
        <v>47</v>
      </c>
      <c r="C3" s="121" t="s">
        <v>48</v>
      </c>
      <c r="D3" s="121" t="s">
        <v>49</v>
      </c>
      <c r="E3" s="121" t="s">
        <v>50</v>
      </c>
      <c r="F3" s="121" t="s">
        <v>51</v>
      </c>
      <c r="G3" s="121" t="s">
        <v>52</v>
      </c>
      <c r="H3" s="121" t="s">
        <v>53</v>
      </c>
      <c r="I3" s="121" t="s">
        <v>54</v>
      </c>
      <c r="J3" s="121" t="s">
        <v>55</v>
      </c>
      <c r="K3" s="121" t="s">
        <v>56</v>
      </c>
      <c r="L3" s="121"/>
      <c r="M3" s="121"/>
      <c r="N3" s="121" t="s">
        <v>39</v>
      </c>
      <c r="O3" s="121" t="s">
        <v>40</v>
      </c>
      <c r="P3" s="121" t="s">
        <v>57</v>
      </c>
      <c r="Q3" s="121" t="s">
        <v>58</v>
      </c>
      <c r="R3" s="124">
        <v>45689</v>
      </c>
      <c r="S3" s="124">
        <v>45736</v>
      </c>
      <c r="T3" s="124">
        <v>45730</v>
      </c>
      <c r="U3" s="121"/>
      <c r="V3" s="121" t="s">
        <v>59</v>
      </c>
      <c r="W3" s="121" t="s">
        <v>60</v>
      </c>
      <c r="X3" s="121" t="s">
        <v>61</v>
      </c>
      <c r="Y3" s="120">
        <v>45737</v>
      </c>
      <c r="Z3" s="120">
        <v>45737</v>
      </c>
      <c r="AA3" s="118" t="s">
        <v>45</v>
      </c>
      <c r="AB3" s="118" t="s">
        <v>62</v>
      </c>
    </row>
    <row r="4" spans="1:29" ht="30" hidden="1" x14ac:dyDescent="0.25">
      <c r="A4" s="119" t="s">
        <v>63</v>
      </c>
      <c r="B4" s="118" t="s">
        <v>64</v>
      </c>
      <c r="D4" s="118" t="s">
        <v>65</v>
      </c>
      <c r="F4" s="118" t="s">
        <v>66</v>
      </c>
      <c r="G4" s="118" t="s">
        <v>67</v>
      </c>
      <c r="H4" s="118" t="s">
        <v>68</v>
      </c>
      <c r="I4" s="118" t="s">
        <v>69</v>
      </c>
      <c r="J4" s="118" t="s">
        <v>70</v>
      </c>
      <c r="K4" s="118" t="s">
        <v>37</v>
      </c>
      <c r="L4" s="118" t="s">
        <v>71</v>
      </c>
      <c r="M4" s="118" t="s">
        <v>72</v>
      </c>
      <c r="N4" s="118" t="s">
        <v>39</v>
      </c>
      <c r="O4" s="118" t="s">
        <v>40</v>
      </c>
      <c r="P4" s="118" t="s">
        <v>41</v>
      </c>
      <c r="Q4" s="118" t="s">
        <v>42</v>
      </c>
      <c r="R4" s="120">
        <v>45903</v>
      </c>
      <c r="T4" s="120">
        <v>46387</v>
      </c>
      <c r="V4" s="118" t="s">
        <v>43</v>
      </c>
      <c r="AA4" s="118" t="s">
        <v>73</v>
      </c>
      <c r="AB4" s="118" t="s">
        <v>74</v>
      </c>
    </row>
    <row r="5" spans="1:29" ht="409.5" hidden="1" x14ac:dyDescent="0.25">
      <c r="A5" s="142" t="s">
        <v>75</v>
      </c>
      <c r="B5" s="121" t="s">
        <v>76</v>
      </c>
      <c r="C5" s="121" t="s">
        <v>77</v>
      </c>
      <c r="D5" s="121" t="s">
        <v>78</v>
      </c>
      <c r="E5" s="121" t="s">
        <v>79</v>
      </c>
      <c r="F5" s="121" t="s">
        <v>80</v>
      </c>
      <c r="G5" s="121" t="s">
        <v>53</v>
      </c>
      <c r="H5" s="121" t="s">
        <v>81</v>
      </c>
      <c r="I5" s="121" t="s">
        <v>82</v>
      </c>
      <c r="J5" s="121" t="s">
        <v>70</v>
      </c>
      <c r="K5" s="121" t="s">
        <v>83</v>
      </c>
      <c r="L5" s="121" t="s">
        <v>71</v>
      </c>
      <c r="M5" s="121"/>
      <c r="N5" s="121" t="s">
        <v>39</v>
      </c>
      <c r="O5" s="121" t="s">
        <v>40</v>
      </c>
      <c r="P5" s="121" t="s">
        <v>41</v>
      </c>
      <c r="Q5" s="121" t="s">
        <v>57</v>
      </c>
      <c r="R5" s="124">
        <v>45348</v>
      </c>
      <c r="S5" s="124">
        <v>45709</v>
      </c>
      <c r="T5" s="124">
        <v>45747</v>
      </c>
      <c r="U5" s="121"/>
      <c r="V5" s="121" t="s">
        <v>84</v>
      </c>
      <c r="W5" s="121" t="s">
        <v>85</v>
      </c>
      <c r="X5" s="121" t="s">
        <v>86</v>
      </c>
      <c r="Y5" s="120">
        <v>45686</v>
      </c>
      <c r="AA5" s="118" t="s">
        <v>45</v>
      </c>
      <c r="AB5" s="118" t="s">
        <v>74</v>
      </c>
    </row>
    <row r="6" spans="1:29" ht="270" hidden="1" x14ac:dyDescent="0.25">
      <c r="A6" s="142">
        <v>100</v>
      </c>
      <c r="B6" s="121" t="s">
        <v>87</v>
      </c>
      <c r="C6" s="121" t="s">
        <v>88</v>
      </c>
      <c r="D6" s="121" t="s">
        <v>89</v>
      </c>
      <c r="E6" s="121" t="s">
        <v>90</v>
      </c>
      <c r="F6" s="121" t="s">
        <v>91</v>
      </c>
      <c r="G6" s="121" t="s">
        <v>92</v>
      </c>
      <c r="H6" s="121" t="s">
        <v>93</v>
      </c>
      <c r="I6" s="121" t="s">
        <v>94</v>
      </c>
      <c r="J6" s="121" t="s">
        <v>95</v>
      </c>
      <c r="K6" s="121" t="s">
        <v>83</v>
      </c>
      <c r="L6" s="121"/>
      <c r="M6" s="121"/>
      <c r="N6" s="121" t="s">
        <v>39</v>
      </c>
      <c r="O6" s="121" t="s">
        <v>39</v>
      </c>
      <c r="P6" s="121" t="s">
        <v>57</v>
      </c>
      <c r="Q6" s="121" t="s">
        <v>58</v>
      </c>
      <c r="R6" s="124">
        <v>45418</v>
      </c>
      <c r="S6" s="124">
        <v>45748</v>
      </c>
      <c r="T6" s="124">
        <v>45758</v>
      </c>
      <c r="U6" s="121"/>
      <c r="V6" s="121" t="s">
        <v>96</v>
      </c>
      <c r="W6" s="121" t="s">
        <v>97</v>
      </c>
      <c r="X6" s="121"/>
      <c r="Y6" s="120">
        <v>45744</v>
      </c>
      <c r="Z6" s="120">
        <v>45765</v>
      </c>
      <c r="AA6" s="118" t="s">
        <v>45</v>
      </c>
      <c r="AB6" s="118" t="s">
        <v>74</v>
      </c>
    </row>
    <row r="7" spans="1:29" ht="186" hidden="1" customHeight="1" x14ac:dyDescent="0.25">
      <c r="A7" s="142" t="s">
        <v>98</v>
      </c>
      <c r="B7" s="121" t="s">
        <v>99</v>
      </c>
      <c r="C7" s="121"/>
      <c r="D7" s="121" t="s">
        <v>100</v>
      </c>
      <c r="E7" s="121"/>
      <c r="F7" s="121" t="s">
        <v>101</v>
      </c>
      <c r="G7" s="121" t="s">
        <v>102</v>
      </c>
      <c r="H7" s="121"/>
      <c r="I7" s="121" t="s">
        <v>103</v>
      </c>
      <c r="J7" s="121" t="s">
        <v>55</v>
      </c>
      <c r="K7" s="121" t="s">
        <v>56</v>
      </c>
      <c r="L7" s="121" t="s">
        <v>104</v>
      </c>
      <c r="M7" s="121"/>
      <c r="N7" s="121" t="s">
        <v>39</v>
      </c>
      <c r="O7" s="121" t="s">
        <v>40</v>
      </c>
      <c r="P7" s="121" t="s">
        <v>105</v>
      </c>
      <c r="Q7" s="121" t="s">
        <v>57</v>
      </c>
      <c r="R7" s="124">
        <v>45727</v>
      </c>
      <c r="S7" s="124">
        <v>45786</v>
      </c>
      <c r="T7" s="124">
        <v>45786</v>
      </c>
      <c r="U7" s="121"/>
      <c r="V7" s="121" t="s">
        <v>43</v>
      </c>
      <c r="W7" s="121" t="s">
        <v>106</v>
      </c>
      <c r="X7" s="121" t="s">
        <v>107</v>
      </c>
      <c r="Y7" s="120">
        <v>45772</v>
      </c>
      <c r="Z7" s="120">
        <v>45786</v>
      </c>
      <c r="AA7" s="118" t="s">
        <v>45</v>
      </c>
      <c r="AB7" s="118" t="s">
        <v>74</v>
      </c>
    </row>
    <row r="8" spans="1:29" ht="409.5" hidden="1" x14ac:dyDescent="0.25">
      <c r="A8" s="142">
        <v>107</v>
      </c>
      <c r="B8" s="121" t="s">
        <v>108</v>
      </c>
      <c r="C8" s="121"/>
      <c r="D8" s="121" t="s">
        <v>109</v>
      </c>
      <c r="E8" s="121" t="s">
        <v>110</v>
      </c>
      <c r="F8" s="121" t="s">
        <v>111</v>
      </c>
      <c r="G8" s="121" t="s">
        <v>67</v>
      </c>
      <c r="H8" s="121" t="s">
        <v>112</v>
      </c>
      <c r="I8" s="121" t="s">
        <v>103</v>
      </c>
      <c r="J8" s="121" t="s">
        <v>70</v>
      </c>
      <c r="K8" s="121" t="s">
        <v>83</v>
      </c>
      <c r="L8" s="121" t="s">
        <v>113</v>
      </c>
      <c r="M8" s="121" t="s">
        <v>72</v>
      </c>
      <c r="N8" s="121" t="s">
        <v>39</v>
      </c>
      <c r="O8" s="121" t="s">
        <v>40</v>
      </c>
      <c r="P8" s="121" t="s">
        <v>105</v>
      </c>
      <c r="Q8" s="121" t="s">
        <v>57</v>
      </c>
      <c r="R8" s="124">
        <v>45425</v>
      </c>
      <c r="S8" s="124">
        <v>46031</v>
      </c>
      <c r="T8" s="124">
        <v>46080</v>
      </c>
      <c r="U8" s="121"/>
      <c r="V8" s="121" t="s">
        <v>59</v>
      </c>
      <c r="W8" s="121" t="s">
        <v>114</v>
      </c>
      <c r="X8" s="121" t="s">
        <v>115</v>
      </c>
      <c r="Y8" s="120">
        <v>46031</v>
      </c>
      <c r="Z8" s="120">
        <v>46031</v>
      </c>
      <c r="AA8" s="118" t="s">
        <v>45</v>
      </c>
      <c r="AB8" s="118" t="s">
        <v>74</v>
      </c>
    </row>
    <row r="9" spans="1:29" ht="195" hidden="1" x14ac:dyDescent="0.25">
      <c r="A9" s="142">
        <v>102</v>
      </c>
      <c r="B9" s="121" t="s">
        <v>116</v>
      </c>
      <c r="C9" s="121"/>
      <c r="D9" s="121" t="s">
        <v>117</v>
      </c>
      <c r="E9" s="121" t="s">
        <v>118</v>
      </c>
      <c r="F9" s="121" t="s">
        <v>119</v>
      </c>
      <c r="G9" s="121" t="s">
        <v>53</v>
      </c>
      <c r="H9" s="121" t="s">
        <v>120</v>
      </c>
      <c r="I9" s="121" t="s">
        <v>121</v>
      </c>
      <c r="J9" s="121" t="s">
        <v>70</v>
      </c>
      <c r="K9" s="121" t="s">
        <v>83</v>
      </c>
      <c r="L9" s="121"/>
      <c r="M9" s="121"/>
      <c r="N9" s="121" t="s">
        <v>39</v>
      </c>
      <c r="O9" s="121" t="s">
        <v>39</v>
      </c>
      <c r="P9" s="121" t="s">
        <v>57</v>
      </c>
      <c r="Q9" s="121" t="s">
        <v>57</v>
      </c>
      <c r="R9" s="124">
        <v>45292</v>
      </c>
      <c r="S9" s="124">
        <v>45737</v>
      </c>
      <c r="T9" s="124">
        <v>45808</v>
      </c>
      <c r="U9" s="121"/>
      <c r="V9" s="121" t="s">
        <v>96</v>
      </c>
      <c r="W9" s="121" t="s">
        <v>122</v>
      </c>
      <c r="X9" s="121" t="s">
        <v>123</v>
      </c>
      <c r="Y9" s="120">
        <v>45716</v>
      </c>
      <c r="Z9" s="120">
        <v>45744</v>
      </c>
      <c r="AA9" s="118" t="s">
        <v>45</v>
      </c>
      <c r="AB9" s="118" t="s">
        <v>74</v>
      </c>
    </row>
    <row r="10" spans="1:29" ht="120" hidden="1" x14ac:dyDescent="0.25">
      <c r="A10" s="142" t="s">
        <v>124</v>
      </c>
      <c r="B10" s="121" t="s">
        <v>125</v>
      </c>
      <c r="C10" s="121"/>
      <c r="D10" s="121" t="s">
        <v>126</v>
      </c>
      <c r="E10" s="121"/>
      <c r="F10" s="121" t="s">
        <v>32</v>
      </c>
      <c r="G10" s="121" t="s">
        <v>127</v>
      </c>
      <c r="H10" s="121" t="s">
        <v>34</v>
      </c>
      <c r="I10" s="121" t="s">
        <v>35</v>
      </c>
      <c r="J10" s="121" t="s">
        <v>36</v>
      </c>
      <c r="K10" s="121" t="s">
        <v>37</v>
      </c>
      <c r="L10" s="121"/>
      <c r="M10" s="121" t="s">
        <v>128</v>
      </c>
      <c r="N10" s="121" t="s">
        <v>39</v>
      </c>
      <c r="O10" s="121" t="s">
        <v>40</v>
      </c>
      <c r="P10" s="121" t="s">
        <v>41</v>
      </c>
      <c r="Q10" s="121" t="s">
        <v>42</v>
      </c>
      <c r="R10" s="124">
        <v>45625</v>
      </c>
      <c r="S10" s="124"/>
      <c r="T10" s="124">
        <v>46148</v>
      </c>
      <c r="U10" s="124">
        <v>46053</v>
      </c>
      <c r="V10" s="121" t="s">
        <v>43</v>
      </c>
      <c r="W10" s="121" t="s">
        <v>129</v>
      </c>
      <c r="X10" s="121" t="s">
        <v>130</v>
      </c>
      <c r="Y10" s="120">
        <v>46066</v>
      </c>
      <c r="Z10" s="120">
        <v>46143</v>
      </c>
      <c r="AA10" s="118" t="s">
        <v>73</v>
      </c>
      <c r="AB10" s="118" t="s">
        <v>62</v>
      </c>
    </row>
    <row r="11" spans="1:29" ht="75" hidden="1" x14ac:dyDescent="0.25">
      <c r="A11" s="142" t="s">
        <v>131</v>
      </c>
      <c r="B11" s="121" t="s">
        <v>132</v>
      </c>
      <c r="C11" s="121" t="s">
        <v>133</v>
      </c>
      <c r="D11" s="121"/>
      <c r="E11" s="121" t="s">
        <v>134</v>
      </c>
      <c r="F11" s="121" t="s">
        <v>135</v>
      </c>
      <c r="G11" s="121" t="s">
        <v>136</v>
      </c>
      <c r="H11" s="121"/>
      <c r="I11" s="121" t="s">
        <v>137</v>
      </c>
      <c r="J11" s="121" t="s">
        <v>138</v>
      </c>
      <c r="K11" s="121"/>
      <c r="L11" s="121"/>
      <c r="M11" s="121"/>
      <c r="N11" s="121"/>
      <c r="O11" s="121"/>
      <c r="P11" s="121"/>
      <c r="Q11" s="121"/>
      <c r="R11" s="124">
        <v>45422</v>
      </c>
      <c r="S11" s="124">
        <v>45464</v>
      </c>
      <c r="T11" s="124"/>
      <c r="U11" s="121"/>
      <c r="V11" s="121"/>
      <c r="W11" s="121" t="s">
        <v>139</v>
      </c>
      <c r="X11" s="121"/>
      <c r="Y11" s="120">
        <v>45464</v>
      </c>
      <c r="AA11" s="118" t="s">
        <v>45</v>
      </c>
    </row>
    <row r="12" spans="1:29" ht="150" hidden="1" x14ac:dyDescent="0.25">
      <c r="A12" s="142">
        <v>60</v>
      </c>
      <c r="B12" s="121" t="s">
        <v>140</v>
      </c>
      <c r="C12" s="121" t="s">
        <v>141</v>
      </c>
      <c r="D12" s="121"/>
      <c r="E12" s="121"/>
      <c r="F12" s="121" t="s">
        <v>142</v>
      </c>
      <c r="G12" s="121" t="s">
        <v>143</v>
      </c>
      <c r="H12" s="121"/>
      <c r="I12" s="121" t="s">
        <v>103</v>
      </c>
      <c r="J12" s="121" t="s">
        <v>144</v>
      </c>
      <c r="K12" s="121"/>
      <c r="L12" s="121"/>
      <c r="M12" s="121"/>
      <c r="N12" s="121" t="s">
        <v>39</v>
      </c>
      <c r="O12" s="121" t="s">
        <v>40</v>
      </c>
      <c r="P12" s="121" t="s">
        <v>41</v>
      </c>
      <c r="Q12" s="121" t="s">
        <v>57</v>
      </c>
      <c r="R12" s="124">
        <v>45275</v>
      </c>
      <c r="S12" s="124">
        <v>45450</v>
      </c>
      <c r="T12" s="124"/>
      <c r="U12" s="121"/>
      <c r="V12" s="121"/>
      <c r="W12" s="121" t="s">
        <v>145</v>
      </c>
      <c r="X12" s="121"/>
      <c r="Y12" s="120">
        <v>45429</v>
      </c>
      <c r="Z12" s="120">
        <v>45429</v>
      </c>
      <c r="AA12" s="118" t="s">
        <v>45</v>
      </c>
    </row>
    <row r="13" spans="1:29" ht="105" hidden="1" x14ac:dyDescent="0.25">
      <c r="A13" s="142">
        <v>85</v>
      </c>
      <c r="B13" s="121" t="s">
        <v>146</v>
      </c>
      <c r="C13" s="121"/>
      <c r="D13" s="121"/>
      <c r="E13" s="121" t="s">
        <v>147</v>
      </c>
      <c r="F13" s="121" t="s">
        <v>148</v>
      </c>
      <c r="G13" s="121" t="s">
        <v>149</v>
      </c>
      <c r="H13" s="121"/>
      <c r="I13" s="121" t="s">
        <v>54</v>
      </c>
      <c r="J13" s="121" t="s">
        <v>144</v>
      </c>
      <c r="K13" s="121"/>
      <c r="L13" s="121"/>
      <c r="M13" s="121"/>
      <c r="N13" s="121" t="s">
        <v>39</v>
      </c>
      <c r="O13" s="121"/>
      <c r="P13" s="121" t="s">
        <v>57</v>
      </c>
      <c r="Q13" s="121" t="s">
        <v>58</v>
      </c>
      <c r="R13" s="124">
        <v>45345</v>
      </c>
      <c r="S13" s="124">
        <v>45464</v>
      </c>
      <c r="T13" s="124"/>
      <c r="U13" s="121"/>
      <c r="V13" s="121"/>
      <c r="W13" s="121" t="s">
        <v>150</v>
      </c>
      <c r="X13" s="121"/>
      <c r="Y13" s="120">
        <v>45464</v>
      </c>
      <c r="AA13" s="118" t="s">
        <v>45</v>
      </c>
    </row>
    <row r="14" spans="1:29" ht="120" hidden="1" x14ac:dyDescent="0.25">
      <c r="A14" s="142">
        <v>96</v>
      </c>
      <c r="B14" s="121" t="s">
        <v>151</v>
      </c>
      <c r="C14" s="121"/>
      <c r="D14" s="121"/>
      <c r="E14" s="121"/>
      <c r="F14" s="121"/>
      <c r="G14" s="121"/>
      <c r="H14" s="121"/>
      <c r="I14" s="121"/>
      <c r="J14" s="121"/>
      <c r="K14" s="121"/>
      <c r="L14" s="121"/>
      <c r="M14" s="121"/>
      <c r="N14" s="121"/>
      <c r="O14" s="121"/>
      <c r="P14" s="121" t="s">
        <v>105</v>
      </c>
      <c r="Q14" s="121" t="s">
        <v>42</v>
      </c>
      <c r="R14" s="124">
        <v>45366</v>
      </c>
      <c r="S14" s="124">
        <v>45425</v>
      </c>
      <c r="T14" s="124"/>
      <c r="U14" s="121"/>
      <c r="V14" s="121"/>
      <c r="W14" s="121" t="s">
        <v>152</v>
      </c>
      <c r="X14" s="121"/>
      <c r="Y14" s="120">
        <v>45429</v>
      </c>
      <c r="Z14" s="120">
        <v>45443</v>
      </c>
      <c r="AA14" s="118" t="s">
        <v>45</v>
      </c>
    </row>
    <row r="15" spans="1:29" ht="150" hidden="1" x14ac:dyDescent="0.25">
      <c r="A15" s="142" t="s">
        <v>153</v>
      </c>
      <c r="B15" s="121" t="s">
        <v>132</v>
      </c>
      <c r="C15" s="121" t="s">
        <v>154</v>
      </c>
      <c r="D15" s="121"/>
      <c r="E15" s="121"/>
      <c r="F15" s="121" t="s">
        <v>155</v>
      </c>
      <c r="G15" s="121" t="s">
        <v>156</v>
      </c>
      <c r="H15" s="121"/>
      <c r="I15" s="121"/>
      <c r="J15" s="121" t="s">
        <v>95</v>
      </c>
      <c r="K15" s="121"/>
      <c r="L15" s="121"/>
      <c r="M15" s="121"/>
      <c r="N15" s="121"/>
      <c r="O15" s="121"/>
      <c r="P15" s="121" t="s">
        <v>41</v>
      </c>
      <c r="Q15" s="121" t="s">
        <v>57</v>
      </c>
      <c r="R15" s="124">
        <v>45331</v>
      </c>
      <c r="S15" s="124">
        <v>45352</v>
      </c>
      <c r="T15" s="124"/>
      <c r="U15" s="121"/>
      <c r="V15" s="121"/>
      <c r="W15" s="121" t="s">
        <v>157</v>
      </c>
      <c r="X15" s="121" t="s">
        <v>158</v>
      </c>
      <c r="Y15" s="120">
        <v>45352</v>
      </c>
      <c r="Z15" s="120">
        <v>45504</v>
      </c>
      <c r="AA15" s="118" t="s">
        <v>45</v>
      </c>
    </row>
    <row r="16" spans="1:29" ht="105" hidden="1" x14ac:dyDescent="0.25">
      <c r="A16" s="142" t="s">
        <v>159</v>
      </c>
      <c r="B16" s="121" t="s">
        <v>132</v>
      </c>
      <c r="C16" s="121" t="s">
        <v>160</v>
      </c>
      <c r="D16" s="121"/>
      <c r="E16" s="121" t="s">
        <v>161</v>
      </c>
      <c r="F16" s="121" t="s">
        <v>155</v>
      </c>
      <c r="G16" s="121" t="s">
        <v>162</v>
      </c>
      <c r="H16" s="121"/>
      <c r="I16" s="121"/>
      <c r="J16" s="121" t="s">
        <v>95</v>
      </c>
      <c r="K16" s="121"/>
      <c r="L16" s="121"/>
      <c r="M16" s="121"/>
      <c r="N16" s="121" t="s">
        <v>39</v>
      </c>
      <c r="O16" s="121"/>
      <c r="P16" s="121" t="s">
        <v>41</v>
      </c>
      <c r="Q16" s="121" t="s">
        <v>57</v>
      </c>
      <c r="R16" s="124">
        <v>45359</v>
      </c>
      <c r="S16" s="124">
        <v>45535</v>
      </c>
      <c r="T16" s="124">
        <v>45535</v>
      </c>
      <c r="U16" s="121"/>
      <c r="V16" s="121"/>
      <c r="W16" s="121" t="s">
        <v>163</v>
      </c>
      <c r="X16" s="121" t="s">
        <v>164</v>
      </c>
      <c r="Y16" s="120">
        <v>45506</v>
      </c>
      <c r="AA16" s="118" t="s">
        <v>45</v>
      </c>
    </row>
    <row r="17" spans="1:28" ht="255" hidden="1" x14ac:dyDescent="0.25">
      <c r="A17" s="142" t="s">
        <v>165</v>
      </c>
      <c r="B17" s="121" t="s">
        <v>166</v>
      </c>
      <c r="C17" s="121" t="s">
        <v>167</v>
      </c>
      <c r="D17" s="121"/>
      <c r="E17" s="121" t="s">
        <v>168</v>
      </c>
      <c r="F17" s="121" t="s">
        <v>169</v>
      </c>
      <c r="G17" s="121" t="s">
        <v>143</v>
      </c>
      <c r="H17" s="121"/>
      <c r="I17" s="121" t="s">
        <v>54</v>
      </c>
      <c r="J17" s="121" t="s">
        <v>70</v>
      </c>
      <c r="K17" s="121"/>
      <c r="L17" s="121" t="s">
        <v>71</v>
      </c>
      <c r="M17" s="121"/>
      <c r="N17" s="121" t="s">
        <v>39</v>
      </c>
      <c r="O17" s="121" t="s">
        <v>40</v>
      </c>
      <c r="P17" s="121" t="s">
        <v>41</v>
      </c>
      <c r="Q17" s="121" t="s">
        <v>57</v>
      </c>
      <c r="R17" s="124">
        <v>45275</v>
      </c>
      <c r="S17" s="124">
        <v>45492</v>
      </c>
      <c r="T17" s="124"/>
      <c r="U17" s="121"/>
      <c r="V17" s="121"/>
      <c r="W17" s="121" t="s">
        <v>170</v>
      </c>
      <c r="X17" s="121" t="s">
        <v>171</v>
      </c>
      <c r="Y17" s="120">
        <v>45492</v>
      </c>
      <c r="Z17" s="120">
        <v>45516</v>
      </c>
      <c r="AA17" s="118" t="s">
        <v>45</v>
      </c>
    </row>
    <row r="18" spans="1:28" ht="30" hidden="1" x14ac:dyDescent="0.25">
      <c r="A18" s="142" t="s">
        <v>172</v>
      </c>
      <c r="B18" s="121" t="s">
        <v>173</v>
      </c>
      <c r="C18" s="121" t="s">
        <v>174</v>
      </c>
      <c r="D18" s="121"/>
      <c r="E18" s="121" t="s">
        <v>175</v>
      </c>
      <c r="F18" s="121" t="s">
        <v>176</v>
      </c>
      <c r="G18" s="121" t="s">
        <v>177</v>
      </c>
      <c r="H18" s="121"/>
      <c r="I18" s="121" t="s">
        <v>35</v>
      </c>
      <c r="J18" s="121" t="s">
        <v>144</v>
      </c>
      <c r="K18" s="121"/>
      <c r="L18" s="121"/>
      <c r="M18" s="121"/>
      <c r="N18" s="121" t="s">
        <v>39</v>
      </c>
      <c r="O18" s="121" t="s">
        <v>40</v>
      </c>
      <c r="P18" s="121" t="s">
        <v>105</v>
      </c>
      <c r="Q18" s="121" t="s">
        <v>57</v>
      </c>
      <c r="R18" s="124">
        <v>45292</v>
      </c>
      <c r="S18" s="124">
        <v>45373</v>
      </c>
      <c r="T18" s="124">
        <v>45373</v>
      </c>
      <c r="U18" s="121"/>
      <c r="V18" s="121"/>
      <c r="W18" s="121" t="s">
        <v>178</v>
      </c>
      <c r="X18" s="121" t="s">
        <v>179</v>
      </c>
      <c r="Y18" s="120">
        <v>45359</v>
      </c>
      <c r="AA18" s="118" t="s">
        <v>45</v>
      </c>
    </row>
    <row r="19" spans="1:28" ht="60" hidden="1" x14ac:dyDescent="0.25">
      <c r="A19" s="142" t="s">
        <v>180</v>
      </c>
      <c r="B19" s="121" t="s">
        <v>181</v>
      </c>
      <c r="C19" s="121" t="s">
        <v>182</v>
      </c>
      <c r="D19" s="121"/>
      <c r="E19" s="121" t="s">
        <v>183</v>
      </c>
      <c r="F19" s="121" t="s">
        <v>119</v>
      </c>
      <c r="G19" s="121" t="s">
        <v>184</v>
      </c>
      <c r="H19" s="121"/>
      <c r="I19" s="121" t="s">
        <v>185</v>
      </c>
      <c r="J19" s="121" t="s">
        <v>144</v>
      </c>
      <c r="K19" s="121"/>
      <c r="L19" s="121"/>
      <c r="M19" s="121"/>
      <c r="N19" s="121" t="s">
        <v>39</v>
      </c>
      <c r="O19" s="121" t="s">
        <v>40</v>
      </c>
      <c r="P19" s="121" t="s">
        <v>57</v>
      </c>
      <c r="Q19" s="121" t="s">
        <v>42</v>
      </c>
      <c r="R19" s="124">
        <v>45273</v>
      </c>
      <c r="S19" s="124">
        <v>45412</v>
      </c>
      <c r="T19" s="124">
        <v>45412</v>
      </c>
      <c r="U19" s="121"/>
      <c r="V19" s="121"/>
      <c r="W19" s="121" t="s">
        <v>186</v>
      </c>
      <c r="X19" s="121" t="s">
        <v>187</v>
      </c>
      <c r="Y19" s="120">
        <v>45359</v>
      </c>
      <c r="AA19" s="118" t="s">
        <v>45</v>
      </c>
    </row>
    <row r="20" spans="1:28" ht="105" hidden="1" x14ac:dyDescent="0.25">
      <c r="A20" s="142">
        <v>66</v>
      </c>
      <c r="B20" s="121" t="s">
        <v>188</v>
      </c>
      <c r="C20" s="121"/>
      <c r="D20" s="121"/>
      <c r="E20" s="121" t="s">
        <v>189</v>
      </c>
      <c r="F20" s="121" t="s">
        <v>190</v>
      </c>
      <c r="G20" s="121" t="s">
        <v>191</v>
      </c>
      <c r="H20" s="121"/>
      <c r="I20" s="121" t="s">
        <v>35</v>
      </c>
      <c r="J20" s="121" t="s">
        <v>144</v>
      </c>
      <c r="K20" s="121"/>
      <c r="L20" s="121"/>
      <c r="M20" s="121"/>
      <c r="N20" s="121" t="s">
        <v>39</v>
      </c>
      <c r="O20" s="121" t="s">
        <v>40</v>
      </c>
      <c r="P20" s="121" t="s">
        <v>105</v>
      </c>
      <c r="Q20" s="121" t="s">
        <v>57</v>
      </c>
      <c r="R20" s="124">
        <v>45266</v>
      </c>
      <c r="S20" s="124">
        <v>45373</v>
      </c>
      <c r="T20" s="124">
        <v>45373</v>
      </c>
      <c r="U20" s="121"/>
      <c r="V20" s="121"/>
      <c r="W20" s="121" t="s">
        <v>192</v>
      </c>
      <c r="X20" s="121" t="s">
        <v>193</v>
      </c>
      <c r="Y20" s="120">
        <v>45359</v>
      </c>
      <c r="AA20" s="118" t="s">
        <v>45</v>
      </c>
    </row>
    <row r="21" spans="1:28" ht="60" hidden="1" x14ac:dyDescent="0.25">
      <c r="A21" s="142">
        <v>73</v>
      </c>
      <c r="B21" s="121" t="s">
        <v>194</v>
      </c>
      <c r="C21" s="121"/>
      <c r="D21" s="121"/>
      <c r="E21" s="121" t="s">
        <v>195</v>
      </c>
      <c r="F21" s="121" t="s">
        <v>176</v>
      </c>
      <c r="G21" s="121" t="s">
        <v>177</v>
      </c>
      <c r="H21" s="121"/>
      <c r="I21" s="121" t="s">
        <v>35</v>
      </c>
      <c r="J21" s="121" t="s">
        <v>144</v>
      </c>
      <c r="K21" s="121"/>
      <c r="L21" s="121"/>
      <c r="M21" s="121"/>
      <c r="N21" s="121" t="s">
        <v>39</v>
      </c>
      <c r="O21" s="121" t="s">
        <v>40</v>
      </c>
      <c r="P21" s="121" t="s">
        <v>105</v>
      </c>
      <c r="Q21" s="121" t="s">
        <v>57</v>
      </c>
      <c r="R21" s="124">
        <v>45266</v>
      </c>
      <c r="S21" s="124">
        <v>45373</v>
      </c>
      <c r="T21" s="124">
        <v>45373</v>
      </c>
      <c r="U21" s="121"/>
      <c r="V21" s="121"/>
      <c r="W21" s="121" t="s">
        <v>196</v>
      </c>
      <c r="X21" s="121" t="s">
        <v>197</v>
      </c>
      <c r="Y21" s="120">
        <v>45359</v>
      </c>
      <c r="AA21" s="118" t="s">
        <v>45</v>
      </c>
    </row>
    <row r="22" spans="1:28" ht="45" hidden="1" x14ac:dyDescent="0.25">
      <c r="A22" s="142">
        <v>84</v>
      </c>
      <c r="B22" s="121" t="s">
        <v>198</v>
      </c>
      <c r="C22" s="121"/>
      <c r="D22" s="121"/>
      <c r="E22" s="121"/>
      <c r="F22" s="121"/>
      <c r="G22" s="121" t="s">
        <v>199</v>
      </c>
      <c r="H22" s="121"/>
      <c r="I22" s="121" t="s">
        <v>185</v>
      </c>
      <c r="J22" s="121" t="s">
        <v>200</v>
      </c>
      <c r="K22" s="121"/>
      <c r="L22" s="121"/>
      <c r="M22" s="121"/>
      <c r="N22" s="121"/>
      <c r="O22" s="121"/>
      <c r="P22" s="121"/>
      <c r="Q22" s="121"/>
      <c r="R22" s="124">
        <v>45292</v>
      </c>
      <c r="S22" s="124">
        <v>45345</v>
      </c>
      <c r="T22" s="124"/>
      <c r="U22" s="121"/>
      <c r="V22" s="121"/>
      <c r="W22" s="121" t="s">
        <v>201</v>
      </c>
      <c r="X22" s="121" t="s">
        <v>202</v>
      </c>
      <c r="Y22" s="120">
        <v>45331</v>
      </c>
      <c r="Z22" s="120">
        <v>45337</v>
      </c>
      <c r="AA22" s="118" t="s">
        <v>45</v>
      </c>
    </row>
    <row r="23" spans="1:28" ht="105" hidden="1" x14ac:dyDescent="0.25">
      <c r="A23" s="142">
        <v>95</v>
      </c>
      <c r="B23" s="121" t="s">
        <v>203</v>
      </c>
      <c r="C23" s="121"/>
      <c r="D23" s="121"/>
      <c r="E23" s="121" t="s">
        <v>204</v>
      </c>
      <c r="F23" s="121" t="s">
        <v>205</v>
      </c>
      <c r="G23" s="121" t="s">
        <v>143</v>
      </c>
      <c r="H23" s="121"/>
      <c r="I23" s="121" t="s">
        <v>82</v>
      </c>
      <c r="J23" s="121" t="s">
        <v>144</v>
      </c>
      <c r="K23" s="121"/>
      <c r="L23" s="121"/>
      <c r="M23" s="121"/>
      <c r="N23" s="121" t="s">
        <v>39</v>
      </c>
      <c r="O23" s="121" t="s">
        <v>40</v>
      </c>
      <c r="P23" s="121" t="s">
        <v>105</v>
      </c>
      <c r="Q23" s="121" t="s">
        <v>57</v>
      </c>
      <c r="R23" s="124">
        <v>45355</v>
      </c>
      <c r="S23" s="124">
        <v>45366</v>
      </c>
      <c r="T23" s="124"/>
      <c r="U23" s="121"/>
      <c r="V23" s="121"/>
      <c r="W23" s="121" t="s">
        <v>206</v>
      </c>
      <c r="X23" s="121"/>
      <c r="Y23" s="120">
        <v>45355</v>
      </c>
      <c r="Z23" s="120">
        <v>45387</v>
      </c>
      <c r="AA23" s="118" t="s">
        <v>45</v>
      </c>
    </row>
    <row r="24" spans="1:28" ht="105" hidden="1" x14ac:dyDescent="0.25">
      <c r="A24" s="142">
        <v>97</v>
      </c>
      <c r="B24" s="121" t="s">
        <v>207</v>
      </c>
      <c r="C24" s="121"/>
      <c r="D24" s="121"/>
      <c r="E24" s="121" t="s">
        <v>208</v>
      </c>
      <c r="F24" s="121" t="s">
        <v>209</v>
      </c>
      <c r="G24" s="121" t="s">
        <v>143</v>
      </c>
      <c r="H24" s="121"/>
      <c r="I24" s="121" t="s">
        <v>35</v>
      </c>
      <c r="J24" s="121" t="s">
        <v>144</v>
      </c>
      <c r="K24" s="121"/>
      <c r="L24" s="121"/>
      <c r="M24" s="121"/>
      <c r="N24" s="121" t="s">
        <v>39</v>
      </c>
      <c r="O24" s="121" t="s">
        <v>40</v>
      </c>
      <c r="P24" s="121" t="s">
        <v>41</v>
      </c>
      <c r="Q24" s="121" t="s">
        <v>57</v>
      </c>
      <c r="R24" s="124">
        <v>45415</v>
      </c>
      <c r="S24" s="124">
        <v>45443</v>
      </c>
      <c r="T24" s="124">
        <v>45443</v>
      </c>
      <c r="U24" s="121"/>
      <c r="V24" s="121"/>
      <c r="W24" s="121" t="s">
        <v>210</v>
      </c>
      <c r="X24" s="121"/>
      <c r="Y24" s="120">
        <v>45422</v>
      </c>
      <c r="Z24" s="120">
        <v>45429</v>
      </c>
      <c r="AA24" s="118" t="s">
        <v>45</v>
      </c>
    </row>
    <row r="25" spans="1:28" ht="165" hidden="1" x14ac:dyDescent="0.25">
      <c r="A25" s="142">
        <v>109</v>
      </c>
      <c r="B25" s="121" t="s">
        <v>211</v>
      </c>
      <c r="C25" s="121"/>
      <c r="D25" s="121" t="s">
        <v>212</v>
      </c>
      <c r="E25" s="121" t="s">
        <v>213</v>
      </c>
      <c r="F25" s="121" t="s">
        <v>214</v>
      </c>
      <c r="G25" s="121" t="s">
        <v>215</v>
      </c>
      <c r="H25" s="121"/>
      <c r="I25" s="121" t="s">
        <v>137</v>
      </c>
      <c r="J25" s="121" t="s">
        <v>138</v>
      </c>
      <c r="K25" s="121" t="s">
        <v>56</v>
      </c>
      <c r="L25" s="121"/>
      <c r="M25" s="121"/>
      <c r="N25" s="121" t="s">
        <v>39</v>
      </c>
      <c r="O25" s="121"/>
      <c r="P25" s="121" t="s">
        <v>57</v>
      </c>
      <c r="Q25" s="121" t="s">
        <v>42</v>
      </c>
      <c r="R25" s="124">
        <v>45467</v>
      </c>
      <c r="S25" s="124">
        <v>45740</v>
      </c>
      <c r="T25" s="124">
        <v>46022</v>
      </c>
      <c r="U25" s="121"/>
      <c r="V25" s="121" t="s">
        <v>96</v>
      </c>
      <c r="W25" s="121" t="s">
        <v>216</v>
      </c>
      <c r="X25" s="121" t="s">
        <v>217</v>
      </c>
      <c r="Y25" s="120">
        <v>45744</v>
      </c>
      <c r="Z25" s="120">
        <v>45744</v>
      </c>
      <c r="AA25" s="118" t="s">
        <v>45</v>
      </c>
      <c r="AB25" s="118" t="s">
        <v>74</v>
      </c>
    </row>
    <row r="26" spans="1:28" ht="150" hidden="1" x14ac:dyDescent="0.25">
      <c r="A26" s="142" t="s">
        <v>218</v>
      </c>
      <c r="B26" s="121" t="s">
        <v>219</v>
      </c>
      <c r="C26" s="121" t="s">
        <v>220</v>
      </c>
      <c r="D26" s="121" t="s">
        <v>221</v>
      </c>
      <c r="E26" s="121" t="s">
        <v>222</v>
      </c>
      <c r="F26" s="121" t="s">
        <v>143</v>
      </c>
      <c r="G26" s="121" t="s">
        <v>53</v>
      </c>
      <c r="H26" s="121" t="s">
        <v>223</v>
      </c>
      <c r="I26" s="121" t="s">
        <v>54</v>
      </c>
      <c r="J26" s="121" t="s">
        <v>70</v>
      </c>
      <c r="K26" s="121" t="s">
        <v>83</v>
      </c>
      <c r="L26" s="121" t="s">
        <v>224</v>
      </c>
      <c r="M26" s="121"/>
      <c r="N26" s="121" t="s">
        <v>39</v>
      </c>
      <c r="O26" s="121" t="s">
        <v>40</v>
      </c>
      <c r="P26" s="121" t="s">
        <v>41</v>
      </c>
      <c r="Q26" s="121" t="s">
        <v>57</v>
      </c>
      <c r="R26" s="124">
        <v>45579</v>
      </c>
      <c r="S26" s="124">
        <v>45702</v>
      </c>
      <c r="T26" s="124">
        <v>45702</v>
      </c>
      <c r="U26" s="121"/>
      <c r="V26" s="121" t="s">
        <v>96</v>
      </c>
      <c r="W26" s="121" t="s">
        <v>225</v>
      </c>
      <c r="X26" s="121" t="s">
        <v>226</v>
      </c>
      <c r="Y26" s="120">
        <v>45702</v>
      </c>
      <c r="AA26" s="118" t="s">
        <v>45</v>
      </c>
      <c r="AB26" s="118" t="s">
        <v>74</v>
      </c>
    </row>
    <row r="27" spans="1:28" ht="120" hidden="1" x14ac:dyDescent="0.25">
      <c r="A27" s="142">
        <v>134</v>
      </c>
      <c r="B27" s="121" t="s">
        <v>227</v>
      </c>
      <c r="C27" s="121"/>
      <c r="D27" s="121" t="s">
        <v>228</v>
      </c>
      <c r="E27" s="121" t="s">
        <v>229</v>
      </c>
      <c r="F27" s="121" t="s">
        <v>230</v>
      </c>
      <c r="G27" s="121" t="s">
        <v>231</v>
      </c>
      <c r="H27" s="121" t="s">
        <v>232</v>
      </c>
      <c r="I27" s="121" t="s">
        <v>69</v>
      </c>
      <c r="J27" s="121" t="s">
        <v>144</v>
      </c>
      <c r="K27" s="121" t="s">
        <v>83</v>
      </c>
      <c r="L27" s="121"/>
      <c r="M27" s="121"/>
      <c r="N27" s="121" t="s">
        <v>39</v>
      </c>
      <c r="O27" s="121" t="s">
        <v>40</v>
      </c>
      <c r="P27" s="121" t="s">
        <v>105</v>
      </c>
      <c r="Q27" s="121" t="s">
        <v>57</v>
      </c>
      <c r="R27" s="124">
        <v>45637</v>
      </c>
      <c r="S27" s="124">
        <v>45694</v>
      </c>
      <c r="T27" s="124">
        <v>45694</v>
      </c>
      <c r="U27" s="121"/>
      <c r="V27" s="121" t="s">
        <v>43</v>
      </c>
      <c r="W27" s="121" t="s">
        <v>233</v>
      </c>
      <c r="X27" s="121" t="s">
        <v>234</v>
      </c>
      <c r="Y27" s="120">
        <v>45674</v>
      </c>
      <c r="AA27" s="118" t="s">
        <v>45</v>
      </c>
      <c r="AB27" s="118" t="s">
        <v>74</v>
      </c>
    </row>
    <row r="28" spans="1:28" ht="45" hidden="1" x14ac:dyDescent="0.25">
      <c r="A28" s="142" t="s">
        <v>235</v>
      </c>
      <c r="B28" s="121" t="s">
        <v>236</v>
      </c>
      <c r="C28" s="121" t="s">
        <v>237</v>
      </c>
      <c r="D28" s="121" t="s">
        <v>238</v>
      </c>
      <c r="E28" s="121" t="s">
        <v>239</v>
      </c>
      <c r="F28" s="121" t="s">
        <v>240</v>
      </c>
      <c r="G28" s="121" t="s">
        <v>241</v>
      </c>
      <c r="H28" s="121" t="s">
        <v>242</v>
      </c>
      <c r="I28" s="121" t="s">
        <v>185</v>
      </c>
      <c r="J28" s="121" t="s">
        <v>200</v>
      </c>
      <c r="K28" s="121" t="s">
        <v>56</v>
      </c>
      <c r="L28" s="121" t="s">
        <v>224</v>
      </c>
      <c r="M28" s="121"/>
      <c r="N28" s="121" t="s">
        <v>39</v>
      </c>
      <c r="O28" s="121"/>
      <c r="P28" s="121" t="s">
        <v>57</v>
      </c>
      <c r="Q28" s="121" t="s">
        <v>57</v>
      </c>
      <c r="R28" s="124">
        <v>45082</v>
      </c>
      <c r="S28" s="124">
        <v>45674</v>
      </c>
      <c r="T28" s="124">
        <v>45674</v>
      </c>
      <c r="U28" s="121"/>
      <c r="V28" s="121" t="s">
        <v>96</v>
      </c>
      <c r="W28" s="121" t="s">
        <v>243</v>
      </c>
      <c r="X28" s="121" t="s">
        <v>244</v>
      </c>
      <c r="Y28" s="120">
        <v>45674</v>
      </c>
      <c r="AA28" s="118" t="s">
        <v>45</v>
      </c>
      <c r="AB28" s="118" t="s">
        <v>245</v>
      </c>
    </row>
    <row r="29" spans="1:28" ht="240" hidden="1" x14ac:dyDescent="0.25">
      <c r="A29" s="142" t="s">
        <v>246</v>
      </c>
      <c r="B29" s="121" t="s">
        <v>247</v>
      </c>
      <c r="C29" s="121"/>
      <c r="D29" s="121" t="s">
        <v>49</v>
      </c>
      <c r="E29" s="121" t="s">
        <v>50</v>
      </c>
      <c r="F29" s="121" t="s">
        <v>51</v>
      </c>
      <c r="G29" s="121" t="s">
        <v>53</v>
      </c>
      <c r="H29" s="121" t="s">
        <v>248</v>
      </c>
      <c r="I29" s="121" t="s">
        <v>54</v>
      </c>
      <c r="J29" s="121" t="s">
        <v>55</v>
      </c>
      <c r="K29" s="121" t="s">
        <v>56</v>
      </c>
      <c r="L29" s="121"/>
      <c r="M29" s="121"/>
      <c r="N29" s="121" t="s">
        <v>39</v>
      </c>
      <c r="O29" s="121" t="s">
        <v>40</v>
      </c>
      <c r="P29" s="121" t="s">
        <v>57</v>
      </c>
      <c r="Q29" s="121" t="s">
        <v>58</v>
      </c>
      <c r="R29" s="124">
        <v>45572</v>
      </c>
      <c r="S29" s="124">
        <v>45672</v>
      </c>
      <c r="T29" s="124">
        <v>45644</v>
      </c>
      <c r="U29" s="121"/>
      <c r="V29" s="121" t="s">
        <v>84</v>
      </c>
      <c r="W29" s="121" t="s">
        <v>249</v>
      </c>
      <c r="X29" s="121" t="s">
        <v>250</v>
      </c>
      <c r="Y29" s="120">
        <v>45667</v>
      </c>
      <c r="AA29" s="118" t="s">
        <v>45</v>
      </c>
      <c r="AB29" s="118" t="s">
        <v>62</v>
      </c>
    </row>
    <row r="30" spans="1:28" ht="348.75" hidden="1" customHeight="1" x14ac:dyDescent="0.25">
      <c r="A30" s="142">
        <v>131</v>
      </c>
      <c r="B30" s="121" t="s">
        <v>251</v>
      </c>
      <c r="C30" s="121" t="s">
        <v>252</v>
      </c>
      <c r="D30" s="121" t="s">
        <v>253</v>
      </c>
      <c r="E30" s="121"/>
      <c r="F30" s="121" t="s">
        <v>254</v>
      </c>
      <c r="G30" s="121" t="s">
        <v>255</v>
      </c>
      <c r="H30" s="121" t="s">
        <v>256</v>
      </c>
      <c r="I30" s="121" t="s">
        <v>82</v>
      </c>
      <c r="J30" s="121" t="s">
        <v>55</v>
      </c>
      <c r="K30" s="121" t="s">
        <v>56</v>
      </c>
      <c r="L30" s="121"/>
      <c r="M30" s="121"/>
      <c r="N30" s="121" t="s">
        <v>39</v>
      </c>
      <c r="O30" s="121" t="s">
        <v>39</v>
      </c>
      <c r="P30" s="121" t="s">
        <v>57</v>
      </c>
      <c r="Q30" s="121" t="s">
        <v>57</v>
      </c>
      <c r="R30" s="124">
        <v>45618</v>
      </c>
      <c r="S30" s="124">
        <v>45667</v>
      </c>
      <c r="T30" s="124">
        <v>45667</v>
      </c>
      <c r="U30" s="121"/>
      <c r="V30" s="121" t="s">
        <v>84</v>
      </c>
      <c r="W30" s="121" t="s">
        <v>257</v>
      </c>
      <c r="X30" s="121" t="s">
        <v>258</v>
      </c>
      <c r="Y30" s="120">
        <v>45660</v>
      </c>
      <c r="Z30" s="120">
        <v>45667</v>
      </c>
      <c r="AA30" s="118" t="s">
        <v>45</v>
      </c>
      <c r="AB30" s="118" t="s">
        <v>74</v>
      </c>
    </row>
    <row r="31" spans="1:28" ht="289.5" hidden="1" customHeight="1" x14ac:dyDescent="0.25">
      <c r="A31" s="142" t="s">
        <v>259</v>
      </c>
      <c r="B31" s="121" t="s">
        <v>260</v>
      </c>
      <c r="C31" s="121" t="s">
        <v>261</v>
      </c>
      <c r="D31" s="121" t="s">
        <v>262</v>
      </c>
      <c r="E31" s="121" t="s">
        <v>263</v>
      </c>
      <c r="F31" s="121" t="s">
        <v>91</v>
      </c>
      <c r="G31" s="121" t="s">
        <v>264</v>
      </c>
      <c r="H31" s="121" t="s">
        <v>265</v>
      </c>
      <c r="I31" s="121" t="s">
        <v>94</v>
      </c>
      <c r="J31" s="121" t="s">
        <v>95</v>
      </c>
      <c r="K31" s="121" t="s">
        <v>83</v>
      </c>
      <c r="L31" s="121"/>
      <c r="M31" s="121" t="s">
        <v>266</v>
      </c>
      <c r="N31" s="121" t="s">
        <v>39</v>
      </c>
      <c r="O31" s="121"/>
      <c r="P31" s="121" t="s">
        <v>57</v>
      </c>
      <c r="Q31" s="121" t="s">
        <v>57</v>
      </c>
      <c r="R31" s="124">
        <v>45355</v>
      </c>
      <c r="S31" s="124">
        <v>45824</v>
      </c>
      <c r="T31" s="124">
        <v>45838</v>
      </c>
      <c r="U31" s="121"/>
      <c r="V31" s="121" t="s">
        <v>96</v>
      </c>
      <c r="W31" s="121" t="s">
        <v>267</v>
      </c>
      <c r="X31" s="121" t="s">
        <v>268</v>
      </c>
      <c r="Y31" s="120">
        <v>45814</v>
      </c>
      <c r="Z31" s="120">
        <v>45828</v>
      </c>
      <c r="AA31" s="118" t="s">
        <v>45</v>
      </c>
      <c r="AB31" s="118" t="s">
        <v>74</v>
      </c>
    </row>
    <row r="32" spans="1:28" ht="375" hidden="1" x14ac:dyDescent="0.25">
      <c r="A32" s="142">
        <v>7</v>
      </c>
      <c r="B32" s="121" t="s">
        <v>269</v>
      </c>
      <c r="C32" s="121" t="s">
        <v>270</v>
      </c>
      <c r="D32" s="121" t="s">
        <v>271</v>
      </c>
      <c r="E32" s="121" t="s">
        <v>272</v>
      </c>
      <c r="F32" s="121"/>
      <c r="G32" s="121" t="s">
        <v>120</v>
      </c>
      <c r="H32" s="121" t="s">
        <v>273</v>
      </c>
      <c r="I32" s="121" t="s">
        <v>103</v>
      </c>
      <c r="J32" s="121" t="s">
        <v>144</v>
      </c>
      <c r="K32" s="121" t="s">
        <v>56</v>
      </c>
      <c r="L32" s="121" t="s">
        <v>274</v>
      </c>
      <c r="M32" s="121"/>
      <c r="N32" s="121" t="s">
        <v>39</v>
      </c>
      <c r="O32" s="121"/>
      <c r="P32" s="121" t="s">
        <v>41</v>
      </c>
      <c r="Q32" s="121" t="s">
        <v>57</v>
      </c>
      <c r="R32" s="124">
        <v>45673</v>
      </c>
      <c r="S32" s="124">
        <v>45750</v>
      </c>
      <c r="T32" s="124">
        <v>45750</v>
      </c>
      <c r="U32" s="121"/>
      <c r="V32" s="121" t="s">
        <v>43</v>
      </c>
      <c r="W32" s="121" t="s">
        <v>275</v>
      </c>
      <c r="X32" s="121" t="s">
        <v>276</v>
      </c>
      <c r="Y32" s="120">
        <v>45744</v>
      </c>
      <c r="Z32" s="120">
        <v>45751</v>
      </c>
      <c r="AA32" s="118" t="s">
        <v>45</v>
      </c>
      <c r="AB32" s="118" t="s">
        <v>74</v>
      </c>
    </row>
    <row r="33" spans="1:29" ht="98.45" hidden="1" customHeight="1" x14ac:dyDescent="0.25">
      <c r="A33" s="142" t="s">
        <v>277</v>
      </c>
      <c r="B33" s="121" t="s">
        <v>278</v>
      </c>
      <c r="C33" s="121" t="s">
        <v>279</v>
      </c>
      <c r="D33" s="121" t="s">
        <v>280</v>
      </c>
      <c r="E33" s="121" t="s">
        <v>281</v>
      </c>
      <c r="F33" s="121" t="s">
        <v>240</v>
      </c>
      <c r="G33" s="121" t="s">
        <v>282</v>
      </c>
      <c r="H33" s="121" t="s">
        <v>283</v>
      </c>
      <c r="I33" s="121" t="s">
        <v>94</v>
      </c>
      <c r="J33" s="121" t="s">
        <v>284</v>
      </c>
      <c r="K33" s="121" t="s">
        <v>83</v>
      </c>
      <c r="L33" s="121" t="s">
        <v>224</v>
      </c>
      <c r="M33" s="121"/>
      <c r="N33" s="121" t="s">
        <v>39</v>
      </c>
      <c r="O33" s="121"/>
      <c r="P33" s="121" t="s">
        <v>57</v>
      </c>
      <c r="Q33" s="121" t="s">
        <v>57</v>
      </c>
      <c r="R33" s="124">
        <v>45390</v>
      </c>
      <c r="S33" s="124"/>
      <c r="T33" s="124"/>
      <c r="U33" s="121"/>
      <c r="V33" s="121" t="s">
        <v>285</v>
      </c>
      <c r="W33" s="121" t="s">
        <v>286</v>
      </c>
      <c r="X33" s="121" t="s">
        <v>287</v>
      </c>
      <c r="AA33" s="118" t="s">
        <v>288</v>
      </c>
      <c r="AB33" s="118" t="s">
        <v>289</v>
      </c>
    </row>
    <row r="34" spans="1:29" ht="75" hidden="1" x14ac:dyDescent="0.25">
      <c r="A34" s="142" t="s">
        <v>290</v>
      </c>
      <c r="B34" s="121" t="s">
        <v>291</v>
      </c>
      <c r="C34" s="121" t="s">
        <v>292</v>
      </c>
      <c r="D34" s="121"/>
      <c r="E34" s="121" t="s">
        <v>293</v>
      </c>
      <c r="F34" s="121" t="s">
        <v>119</v>
      </c>
      <c r="G34" s="121" t="s">
        <v>67</v>
      </c>
      <c r="H34" s="121" t="s">
        <v>282</v>
      </c>
      <c r="I34" s="121" t="s">
        <v>185</v>
      </c>
      <c r="J34" s="121" t="s">
        <v>200</v>
      </c>
      <c r="K34" s="121" t="s">
        <v>56</v>
      </c>
      <c r="L34" s="121"/>
      <c r="M34" s="121"/>
      <c r="N34" s="121" t="s">
        <v>39</v>
      </c>
      <c r="O34" s="121"/>
      <c r="P34" s="121" t="s">
        <v>57</v>
      </c>
      <c r="Q34" s="121" t="s">
        <v>57</v>
      </c>
      <c r="R34" s="124"/>
      <c r="S34" s="124"/>
      <c r="T34" s="124"/>
      <c r="U34" s="121"/>
      <c r="V34" s="121" t="s">
        <v>285</v>
      </c>
      <c r="W34" s="121" t="s">
        <v>294</v>
      </c>
      <c r="X34" s="121"/>
      <c r="Y34" s="120">
        <v>45485</v>
      </c>
      <c r="AA34" s="118" t="s">
        <v>288</v>
      </c>
      <c r="AB34" s="118" t="s">
        <v>295</v>
      </c>
    </row>
    <row r="35" spans="1:29" ht="60" hidden="1" x14ac:dyDescent="0.25">
      <c r="A35" s="142">
        <v>36</v>
      </c>
      <c r="B35" s="121" t="s">
        <v>296</v>
      </c>
      <c r="C35" s="121"/>
      <c r="D35" s="121"/>
      <c r="E35" s="121" t="s">
        <v>297</v>
      </c>
      <c r="F35" s="121" t="s">
        <v>298</v>
      </c>
      <c r="G35" s="121" t="s">
        <v>67</v>
      </c>
      <c r="H35" s="121" t="s">
        <v>282</v>
      </c>
      <c r="I35" s="121" t="s">
        <v>299</v>
      </c>
      <c r="J35" s="121" t="s">
        <v>95</v>
      </c>
      <c r="K35" s="121" t="s">
        <v>56</v>
      </c>
      <c r="L35" s="121"/>
      <c r="M35" s="121"/>
      <c r="N35" s="121" t="s">
        <v>39</v>
      </c>
      <c r="O35" s="121"/>
      <c r="P35" s="121" t="s">
        <v>300</v>
      </c>
      <c r="Q35" s="121" t="s">
        <v>301</v>
      </c>
      <c r="R35" s="124"/>
      <c r="S35" s="124"/>
      <c r="T35" s="124"/>
      <c r="U35" s="121"/>
      <c r="V35" s="121" t="s">
        <v>285</v>
      </c>
      <c r="W35" s="121" t="s">
        <v>302</v>
      </c>
      <c r="X35" s="121"/>
      <c r="AA35" s="118" t="s">
        <v>288</v>
      </c>
      <c r="AB35" s="118" t="s">
        <v>303</v>
      </c>
    </row>
    <row r="36" spans="1:29" ht="150" hidden="1" x14ac:dyDescent="0.25">
      <c r="A36" s="142">
        <v>139</v>
      </c>
      <c r="B36" s="121" t="s">
        <v>304</v>
      </c>
      <c r="C36" s="121"/>
      <c r="D36" s="121" t="s">
        <v>305</v>
      </c>
      <c r="E36" s="121" t="s">
        <v>306</v>
      </c>
      <c r="F36" s="121" t="s">
        <v>119</v>
      </c>
      <c r="G36" s="121" t="s">
        <v>53</v>
      </c>
      <c r="H36" s="121" t="s">
        <v>52</v>
      </c>
      <c r="I36" s="121" t="s">
        <v>185</v>
      </c>
      <c r="J36" s="121" t="s">
        <v>70</v>
      </c>
      <c r="K36" s="121" t="s">
        <v>83</v>
      </c>
      <c r="L36" s="121"/>
      <c r="M36" s="121" t="s">
        <v>72</v>
      </c>
      <c r="N36" s="121"/>
      <c r="O36" s="121"/>
      <c r="P36" s="121"/>
      <c r="Q36" s="121" t="s">
        <v>57</v>
      </c>
      <c r="R36" s="124">
        <v>45677</v>
      </c>
      <c r="S36" s="124"/>
      <c r="T36" s="124"/>
      <c r="U36" s="121"/>
      <c r="V36" s="121" t="s">
        <v>96</v>
      </c>
      <c r="W36" s="121" t="s">
        <v>307</v>
      </c>
      <c r="X36" s="121"/>
      <c r="Y36" s="120">
        <v>46031</v>
      </c>
      <c r="AA36" s="118" t="s">
        <v>308</v>
      </c>
      <c r="AB36" s="118" t="s">
        <v>74</v>
      </c>
    </row>
    <row r="37" spans="1:29" ht="105" hidden="1" x14ac:dyDescent="0.25">
      <c r="A37" s="142">
        <v>53</v>
      </c>
      <c r="B37" s="121" t="s">
        <v>309</v>
      </c>
      <c r="C37" s="121"/>
      <c r="D37" s="121"/>
      <c r="E37" s="121" t="s">
        <v>310</v>
      </c>
      <c r="F37" s="121" t="s">
        <v>311</v>
      </c>
      <c r="G37" s="121" t="s">
        <v>67</v>
      </c>
      <c r="H37" s="121" t="s">
        <v>312</v>
      </c>
      <c r="I37" s="121" t="s">
        <v>185</v>
      </c>
      <c r="J37" s="121" t="s">
        <v>95</v>
      </c>
      <c r="K37" s="121" t="s">
        <v>56</v>
      </c>
      <c r="L37" s="121"/>
      <c r="M37" s="121"/>
      <c r="N37" s="121" t="s">
        <v>39</v>
      </c>
      <c r="O37" s="121"/>
      <c r="P37" s="121" t="s">
        <v>300</v>
      </c>
      <c r="Q37" s="121" t="s">
        <v>301</v>
      </c>
      <c r="R37" s="124">
        <v>45117</v>
      </c>
      <c r="S37" s="124"/>
      <c r="T37" s="124"/>
      <c r="U37" s="121"/>
      <c r="V37" s="121" t="s">
        <v>285</v>
      </c>
      <c r="W37" s="121" t="s">
        <v>313</v>
      </c>
      <c r="X37" s="121" t="s">
        <v>314</v>
      </c>
      <c r="Y37" s="120">
        <v>45345</v>
      </c>
      <c r="AA37" s="118" t="s">
        <v>288</v>
      </c>
      <c r="AB37" s="118" t="s">
        <v>303</v>
      </c>
    </row>
    <row r="38" spans="1:29" ht="75" hidden="1" x14ac:dyDescent="0.25">
      <c r="A38" s="142" t="s">
        <v>315</v>
      </c>
      <c r="B38" s="121" t="s">
        <v>316</v>
      </c>
      <c r="C38" s="121" t="s">
        <v>317</v>
      </c>
      <c r="D38" s="121"/>
      <c r="E38" s="121" t="s">
        <v>318</v>
      </c>
      <c r="F38" s="121" t="s">
        <v>319</v>
      </c>
      <c r="G38" s="121"/>
      <c r="H38" s="121"/>
      <c r="I38" s="121" t="s">
        <v>54</v>
      </c>
      <c r="J38" s="121" t="s">
        <v>95</v>
      </c>
      <c r="K38" s="121" t="s">
        <v>83</v>
      </c>
      <c r="L38" s="121"/>
      <c r="M38" s="121"/>
      <c r="N38" s="121" t="s">
        <v>39</v>
      </c>
      <c r="O38" s="121"/>
      <c r="P38" s="121" t="s">
        <v>41</v>
      </c>
      <c r="Q38" s="121" t="s">
        <v>57</v>
      </c>
      <c r="R38" s="124">
        <v>45292</v>
      </c>
      <c r="S38" s="124"/>
      <c r="T38" s="124">
        <v>45382</v>
      </c>
      <c r="U38" s="121"/>
      <c r="V38" s="121" t="s">
        <v>96</v>
      </c>
      <c r="W38" s="121" t="s">
        <v>320</v>
      </c>
      <c r="X38" s="121"/>
      <c r="AA38" s="118" t="s">
        <v>288</v>
      </c>
      <c r="AB38" s="118" t="s">
        <v>303</v>
      </c>
    </row>
    <row r="39" spans="1:29" ht="45" hidden="1" x14ac:dyDescent="0.25">
      <c r="A39" s="142">
        <v>79</v>
      </c>
      <c r="B39" s="121" t="s">
        <v>321</v>
      </c>
      <c r="C39" s="121"/>
      <c r="D39" s="121"/>
      <c r="E39" s="121"/>
      <c r="F39" s="121" t="s">
        <v>322</v>
      </c>
      <c r="G39" s="121" t="s">
        <v>323</v>
      </c>
      <c r="H39" s="121" t="s">
        <v>324</v>
      </c>
      <c r="I39" s="121"/>
      <c r="J39" s="121" t="s">
        <v>284</v>
      </c>
      <c r="K39" s="121" t="s">
        <v>83</v>
      </c>
      <c r="L39" s="121"/>
      <c r="M39" s="121"/>
      <c r="N39" s="121" t="s">
        <v>39</v>
      </c>
      <c r="O39" s="121"/>
      <c r="P39" s="121"/>
      <c r="Q39" s="121"/>
      <c r="R39" s="124"/>
      <c r="S39" s="124"/>
      <c r="T39" s="124"/>
      <c r="U39" s="121"/>
      <c r="V39" s="121" t="s">
        <v>285</v>
      </c>
      <c r="W39" s="121" t="s">
        <v>325</v>
      </c>
      <c r="X39" s="121"/>
      <c r="Y39" s="120">
        <v>45422</v>
      </c>
      <c r="AA39" s="118" t="s">
        <v>288</v>
      </c>
      <c r="AB39" s="118" t="s">
        <v>289</v>
      </c>
    </row>
    <row r="40" spans="1:29" ht="60" hidden="1" x14ac:dyDescent="0.25">
      <c r="A40" s="142">
        <v>83</v>
      </c>
      <c r="B40" s="121" t="s">
        <v>326</v>
      </c>
      <c r="C40" s="121" t="s">
        <v>327</v>
      </c>
      <c r="D40" s="121"/>
      <c r="E40" s="121" t="s">
        <v>328</v>
      </c>
      <c r="F40" s="121"/>
      <c r="G40" s="121" t="s">
        <v>241</v>
      </c>
      <c r="H40" s="121" t="s">
        <v>282</v>
      </c>
      <c r="I40" s="121" t="s">
        <v>185</v>
      </c>
      <c r="J40" s="121" t="s">
        <v>200</v>
      </c>
      <c r="K40" s="121" t="s">
        <v>56</v>
      </c>
      <c r="L40" s="121"/>
      <c r="M40" s="121"/>
      <c r="N40" s="121" t="s">
        <v>39</v>
      </c>
      <c r="O40" s="121"/>
      <c r="P40" s="121" t="s">
        <v>57</v>
      </c>
      <c r="Q40" s="121" t="s">
        <v>57</v>
      </c>
      <c r="R40" s="124">
        <v>45313</v>
      </c>
      <c r="S40" s="124"/>
      <c r="T40" s="124">
        <v>45504</v>
      </c>
      <c r="U40" s="121"/>
      <c r="V40" s="121" t="s">
        <v>96</v>
      </c>
      <c r="W40" s="121" t="s">
        <v>329</v>
      </c>
      <c r="X40" s="121" t="s">
        <v>330</v>
      </c>
      <c r="Y40" s="120">
        <v>45471</v>
      </c>
      <c r="AA40" s="118" t="s">
        <v>288</v>
      </c>
      <c r="AB40" s="118" t="s">
        <v>289</v>
      </c>
    </row>
    <row r="41" spans="1:29" ht="90" hidden="1" x14ac:dyDescent="0.25">
      <c r="A41" s="142" t="s">
        <v>331</v>
      </c>
      <c r="B41" s="121" t="s">
        <v>332</v>
      </c>
      <c r="C41" s="121" t="s">
        <v>333</v>
      </c>
      <c r="D41" s="121" t="s">
        <v>334</v>
      </c>
      <c r="E41" s="121" t="s">
        <v>335</v>
      </c>
      <c r="F41" s="121" t="s">
        <v>336</v>
      </c>
      <c r="G41" s="121" t="s">
        <v>52</v>
      </c>
      <c r="H41" s="121" t="s">
        <v>337</v>
      </c>
      <c r="I41" s="121" t="s">
        <v>82</v>
      </c>
      <c r="J41" s="121" t="s">
        <v>70</v>
      </c>
      <c r="K41" s="121" t="s">
        <v>83</v>
      </c>
      <c r="L41" s="121" t="s">
        <v>71</v>
      </c>
      <c r="M41" s="121"/>
      <c r="N41" s="121" t="s">
        <v>39</v>
      </c>
      <c r="O41" s="121" t="s">
        <v>40</v>
      </c>
      <c r="P41" s="121" t="s">
        <v>41</v>
      </c>
      <c r="Q41" s="121" t="s">
        <v>42</v>
      </c>
      <c r="R41" s="124">
        <v>45597</v>
      </c>
      <c r="S41" s="124"/>
      <c r="T41" s="124">
        <v>45716</v>
      </c>
      <c r="U41" s="121"/>
      <c r="V41" s="121" t="s">
        <v>96</v>
      </c>
      <c r="W41" s="121" t="s">
        <v>338</v>
      </c>
      <c r="X41" s="121"/>
      <c r="AA41" s="118" t="s">
        <v>288</v>
      </c>
      <c r="AB41" s="118" t="s">
        <v>289</v>
      </c>
    </row>
    <row r="42" spans="1:29" ht="409.5" hidden="1" x14ac:dyDescent="0.25">
      <c r="A42" s="142">
        <v>21</v>
      </c>
      <c r="B42" s="121" t="s">
        <v>339</v>
      </c>
      <c r="C42" s="121"/>
      <c r="D42" s="121"/>
      <c r="E42" s="121" t="s">
        <v>340</v>
      </c>
      <c r="F42" s="121" t="s">
        <v>341</v>
      </c>
      <c r="G42" s="121" t="s">
        <v>342</v>
      </c>
      <c r="H42" s="121" t="s">
        <v>343</v>
      </c>
      <c r="I42" s="121" t="s">
        <v>54</v>
      </c>
      <c r="J42" s="121" t="s">
        <v>95</v>
      </c>
      <c r="K42" s="121" t="s">
        <v>83</v>
      </c>
      <c r="L42" s="121"/>
      <c r="M42" s="121" t="s">
        <v>266</v>
      </c>
      <c r="N42" s="121" t="s">
        <v>39</v>
      </c>
      <c r="O42" s="121" t="s">
        <v>40</v>
      </c>
      <c r="P42" s="121" t="s">
        <v>41</v>
      </c>
      <c r="Q42" s="121" t="s">
        <v>344</v>
      </c>
      <c r="R42" s="124">
        <v>45726</v>
      </c>
      <c r="S42" s="124">
        <v>45866</v>
      </c>
      <c r="T42" s="124">
        <v>45866</v>
      </c>
      <c r="U42" s="121"/>
      <c r="V42" s="121" t="s">
        <v>84</v>
      </c>
      <c r="W42" s="121" t="s">
        <v>345</v>
      </c>
      <c r="X42" s="121" t="s">
        <v>346</v>
      </c>
      <c r="Y42" s="120">
        <v>45863</v>
      </c>
      <c r="Z42" s="120">
        <v>45870</v>
      </c>
      <c r="AA42" s="118" t="s">
        <v>45</v>
      </c>
      <c r="AB42" s="118" t="s">
        <v>74</v>
      </c>
    </row>
    <row r="43" spans="1:29" ht="120" hidden="1" x14ac:dyDescent="0.25">
      <c r="A43" s="142" t="s">
        <v>347</v>
      </c>
      <c r="B43" s="121" t="s">
        <v>348</v>
      </c>
      <c r="C43" s="121"/>
      <c r="D43" s="121" t="s">
        <v>348</v>
      </c>
      <c r="E43" s="121"/>
      <c r="F43" s="121"/>
      <c r="G43" s="121" t="s">
        <v>349</v>
      </c>
      <c r="H43" s="121" t="s">
        <v>53</v>
      </c>
      <c r="I43" s="121" t="s">
        <v>103</v>
      </c>
      <c r="J43" s="121" t="s">
        <v>55</v>
      </c>
      <c r="K43" s="121" t="s">
        <v>56</v>
      </c>
      <c r="L43" s="121"/>
      <c r="M43" s="121"/>
      <c r="N43" s="121" t="s">
        <v>39</v>
      </c>
      <c r="O43" s="121"/>
      <c r="P43" s="121" t="s">
        <v>57</v>
      </c>
      <c r="Q43" s="121" t="s">
        <v>58</v>
      </c>
      <c r="R43" s="124">
        <v>45580</v>
      </c>
      <c r="S43" s="124">
        <v>45680</v>
      </c>
      <c r="T43" s="124">
        <v>45701</v>
      </c>
      <c r="U43" s="121"/>
      <c r="V43" s="121" t="s">
        <v>43</v>
      </c>
      <c r="W43" s="121"/>
      <c r="X43" s="121" t="s">
        <v>350</v>
      </c>
      <c r="Y43" s="120">
        <v>45680</v>
      </c>
      <c r="Z43" s="120">
        <v>45681</v>
      </c>
      <c r="AA43" s="118" t="s">
        <v>45</v>
      </c>
      <c r="AB43" s="118" t="s">
        <v>303</v>
      </c>
      <c r="AC43" s="122">
        <v>0.8</v>
      </c>
    </row>
    <row r="44" spans="1:29" ht="405" hidden="1" x14ac:dyDescent="0.25">
      <c r="A44" s="142">
        <v>5</v>
      </c>
      <c r="B44" s="121" t="s">
        <v>351</v>
      </c>
      <c r="C44" s="121" t="s">
        <v>352</v>
      </c>
      <c r="D44" s="121" t="s">
        <v>353</v>
      </c>
      <c r="E44" s="121" t="s">
        <v>354</v>
      </c>
      <c r="F44" s="121" t="s">
        <v>355</v>
      </c>
      <c r="G44" s="121" t="s">
        <v>92</v>
      </c>
      <c r="H44" s="121" t="s">
        <v>356</v>
      </c>
      <c r="I44" s="121" t="s">
        <v>94</v>
      </c>
      <c r="J44" s="121" t="s">
        <v>95</v>
      </c>
      <c r="K44" s="121" t="s">
        <v>83</v>
      </c>
      <c r="L44" s="121" t="s">
        <v>104</v>
      </c>
      <c r="M44" s="121"/>
      <c r="N44" s="121" t="s">
        <v>40</v>
      </c>
      <c r="O44" s="121"/>
      <c r="P44" s="121" t="s">
        <v>41</v>
      </c>
      <c r="Q44" s="121" t="s">
        <v>42</v>
      </c>
      <c r="R44" s="124">
        <v>45236</v>
      </c>
      <c r="S44" s="124"/>
      <c r="T44" s="124">
        <v>45777</v>
      </c>
      <c r="U44" s="121"/>
      <c r="V44" s="121" t="s">
        <v>96</v>
      </c>
      <c r="W44" s="121" t="s">
        <v>357</v>
      </c>
      <c r="X44" s="121" t="s">
        <v>358</v>
      </c>
      <c r="Y44" s="120">
        <v>45716</v>
      </c>
      <c r="AA44" s="118" t="s">
        <v>288</v>
      </c>
      <c r="AB44" s="118" t="s">
        <v>295</v>
      </c>
      <c r="AC44" s="122">
        <v>0.75</v>
      </c>
    </row>
    <row r="45" spans="1:29" ht="225" hidden="1" x14ac:dyDescent="0.25">
      <c r="A45" s="142">
        <v>8</v>
      </c>
      <c r="B45" s="121" t="s">
        <v>359</v>
      </c>
      <c r="C45" s="121"/>
      <c r="D45" s="121" t="s">
        <v>360</v>
      </c>
      <c r="E45" s="121" t="s">
        <v>361</v>
      </c>
      <c r="F45" s="121" t="s">
        <v>155</v>
      </c>
      <c r="G45" s="121" t="s">
        <v>242</v>
      </c>
      <c r="H45" s="121"/>
      <c r="I45" s="121" t="s">
        <v>185</v>
      </c>
      <c r="J45" s="121" t="s">
        <v>200</v>
      </c>
      <c r="K45" s="121" t="s">
        <v>83</v>
      </c>
      <c r="L45" s="121" t="s">
        <v>274</v>
      </c>
      <c r="M45" s="121"/>
      <c r="N45" s="121" t="s">
        <v>39</v>
      </c>
      <c r="O45" s="121"/>
      <c r="P45" s="121" t="s">
        <v>41</v>
      </c>
      <c r="Q45" s="121" t="s">
        <v>57</v>
      </c>
      <c r="R45" s="124">
        <v>45082</v>
      </c>
      <c r="S45" s="124">
        <v>45541</v>
      </c>
      <c r="T45" s="124">
        <v>45541</v>
      </c>
      <c r="U45" s="121"/>
      <c r="V45" s="121" t="s">
        <v>59</v>
      </c>
      <c r="W45" s="121" t="s">
        <v>362</v>
      </c>
      <c r="X45" s="121" t="s">
        <v>363</v>
      </c>
      <c r="Y45" s="120">
        <v>45485</v>
      </c>
      <c r="AA45" s="118" t="s">
        <v>45</v>
      </c>
      <c r="AB45" s="118" t="s">
        <v>74</v>
      </c>
      <c r="AC45" s="122">
        <v>1</v>
      </c>
    </row>
    <row r="46" spans="1:29" ht="255" hidden="1" x14ac:dyDescent="0.25">
      <c r="A46" s="142">
        <v>15</v>
      </c>
      <c r="B46" s="121" t="s">
        <v>364</v>
      </c>
      <c r="C46" s="121" t="s">
        <v>365</v>
      </c>
      <c r="D46" s="121" t="s">
        <v>366</v>
      </c>
      <c r="E46" s="121" t="s">
        <v>367</v>
      </c>
      <c r="F46" s="121" t="s">
        <v>368</v>
      </c>
      <c r="G46" s="121" t="s">
        <v>369</v>
      </c>
      <c r="H46" s="121" t="s">
        <v>370</v>
      </c>
      <c r="I46" s="121" t="s">
        <v>94</v>
      </c>
      <c r="J46" s="121" t="s">
        <v>95</v>
      </c>
      <c r="K46" s="121" t="s">
        <v>83</v>
      </c>
      <c r="L46" s="121" t="s">
        <v>274</v>
      </c>
      <c r="M46" s="121"/>
      <c r="N46" s="121" t="s">
        <v>40</v>
      </c>
      <c r="O46" s="121"/>
      <c r="P46" s="121" t="s">
        <v>41</v>
      </c>
      <c r="Q46" s="121" t="s">
        <v>344</v>
      </c>
      <c r="R46" s="124">
        <v>45418</v>
      </c>
      <c r="S46" s="124">
        <v>45555</v>
      </c>
      <c r="T46" s="124">
        <v>45555</v>
      </c>
      <c r="U46" s="121">
        <v>45536</v>
      </c>
      <c r="V46" s="121" t="s">
        <v>59</v>
      </c>
      <c r="W46" s="121" t="s">
        <v>371</v>
      </c>
      <c r="X46" s="121" t="s">
        <v>372</v>
      </c>
      <c r="Y46" s="120">
        <v>45553</v>
      </c>
      <c r="AA46" s="118" t="s">
        <v>45</v>
      </c>
      <c r="AB46" s="118" t="s">
        <v>62</v>
      </c>
      <c r="AC46" s="122">
        <v>0.95</v>
      </c>
    </row>
    <row r="47" spans="1:29" ht="45" hidden="1" x14ac:dyDescent="0.25">
      <c r="A47" s="142" t="s">
        <v>373</v>
      </c>
      <c r="B47" s="121" t="s">
        <v>374</v>
      </c>
      <c r="C47" s="121" t="s">
        <v>375</v>
      </c>
      <c r="D47" s="121" t="s">
        <v>376</v>
      </c>
      <c r="E47" s="121"/>
      <c r="F47" s="121" t="s">
        <v>377</v>
      </c>
      <c r="G47" s="121" t="s">
        <v>241</v>
      </c>
      <c r="H47" s="121" t="s">
        <v>282</v>
      </c>
      <c r="I47" s="121" t="s">
        <v>378</v>
      </c>
      <c r="J47" s="121" t="s">
        <v>70</v>
      </c>
      <c r="K47" s="121" t="s">
        <v>56</v>
      </c>
      <c r="L47" s="121"/>
      <c r="M47" s="121"/>
      <c r="N47" s="121" t="s">
        <v>39</v>
      </c>
      <c r="O47" s="121"/>
      <c r="P47" s="121" t="s">
        <v>41</v>
      </c>
      <c r="Q47" s="121" t="s">
        <v>42</v>
      </c>
      <c r="R47" s="124">
        <v>45446</v>
      </c>
      <c r="S47" s="124">
        <v>45596</v>
      </c>
      <c r="T47" s="124">
        <v>45596</v>
      </c>
      <c r="U47" s="121"/>
      <c r="V47" s="121" t="s">
        <v>96</v>
      </c>
      <c r="W47" s="121" t="s">
        <v>379</v>
      </c>
      <c r="X47" s="121" t="s">
        <v>380</v>
      </c>
      <c r="Y47" s="120">
        <v>45576</v>
      </c>
      <c r="AA47" s="118" t="s">
        <v>45</v>
      </c>
      <c r="AB47" s="118" t="s">
        <v>74</v>
      </c>
      <c r="AC47" s="122">
        <v>1</v>
      </c>
    </row>
    <row r="48" spans="1:29" ht="330" hidden="1" x14ac:dyDescent="0.25">
      <c r="A48" s="142" t="s">
        <v>381</v>
      </c>
      <c r="B48" s="121" t="s">
        <v>382</v>
      </c>
      <c r="C48" s="121" t="s">
        <v>383</v>
      </c>
      <c r="D48" s="121"/>
      <c r="E48" s="121"/>
      <c r="F48" s="121"/>
      <c r="G48" s="121" t="s">
        <v>323</v>
      </c>
      <c r="H48" s="121" t="s">
        <v>384</v>
      </c>
      <c r="I48" s="121" t="s">
        <v>82</v>
      </c>
      <c r="J48" s="121" t="s">
        <v>70</v>
      </c>
      <c r="K48" s="121" t="s">
        <v>83</v>
      </c>
      <c r="L48" s="121"/>
      <c r="M48" s="121"/>
      <c r="N48" s="121" t="s">
        <v>39</v>
      </c>
      <c r="O48" s="121" t="s">
        <v>40</v>
      </c>
      <c r="P48" s="121" t="s">
        <v>41</v>
      </c>
      <c r="Q48" s="121" t="s">
        <v>42</v>
      </c>
      <c r="R48" s="124">
        <v>45418</v>
      </c>
      <c r="S48" s="124">
        <v>45737</v>
      </c>
      <c r="T48" s="124">
        <v>45744</v>
      </c>
      <c r="U48" s="121"/>
      <c r="V48" s="121" t="s">
        <v>59</v>
      </c>
      <c r="W48" s="121" t="s">
        <v>385</v>
      </c>
      <c r="X48" s="121"/>
      <c r="Y48" s="120">
        <v>45737</v>
      </c>
      <c r="Z48" s="120">
        <v>45737</v>
      </c>
      <c r="AA48" s="118" t="s">
        <v>45</v>
      </c>
      <c r="AB48" s="118" t="s">
        <v>74</v>
      </c>
    </row>
    <row r="49" spans="1:29" ht="45" hidden="1" x14ac:dyDescent="0.25">
      <c r="A49" s="142" t="s">
        <v>386</v>
      </c>
      <c r="B49" s="121" t="s">
        <v>278</v>
      </c>
      <c r="C49" s="121" t="s">
        <v>387</v>
      </c>
      <c r="D49" s="121"/>
      <c r="E49" s="121"/>
      <c r="F49" s="121"/>
      <c r="G49" s="121" t="s">
        <v>282</v>
      </c>
      <c r="H49" s="121" t="s">
        <v>388</v>
      </c>
      <c r="I49" s="121"/>
      <c r="J49" s="121" t="s">
        <v>95</v>
      </c>
      <c r="K49" s="121" t="s">
        <v>83</v>
      </c>
      <c r="L49" s="121"/>
      <c r="M49" s="121"/>
      <c r="N49" s="121"/>
      <c r="O49" s="121"/>
      <c r="P49" s="121"/>
      <c r="Q49" s="121"/>
      <c r="R49" s="124"/>
      <c r="S49" s="124"/>
      <c r="T49" s="124"/>
      <c r="U49" s="121"/>
      <c r="V49" s="121"/>
      <c r="W49" s="121"/>
      <c r="X49" s="121"/>
      <c r="Y49" s="120">
        <v>45835</v>
      </c>
      <c r="AA49" s="118" t="s">
        <v>389</v>
      </c>
    </row>
    <row r="50" spans="1:29" ht="390" hidden="1" x14ac:dyDescent="0.25">
      <c r="A50" s="142">
        <v>32</v>
      </c>
      <c r="B50" s="121" t="s">
        <v>390</v>
      </c>
      <c r="C50" s="121" t="s">
        <v>391</v>
      </c>
      <c r="D50" s="121" t="s">
        <v>392</v>
      </c>
      <c r="E50" s="121" t="s">
        <v>393</v>
      </c>
      <c r="F50" s="121" t="s">
        <v>155</v>
      </c>
      <c r="G50" s="121" t="s">
        <v>52</v>
      </c>
      <c r="H50" s="121" t="s">
        <v>394</v>
      </c>
      <c r="I50" s="121" t="s">
        <v>185</v>
      </c>
      <c r="J50" s="121" t="s">
        <v>200</v>
      </c>
      <c r="K50" s="121" t="s">
        <v>83</v>
      </c>
      <c r="L50" s="121" t="s">
        <v>224</v>
      </c>
      <c r="M50" s="121"/>
      <c r="N50" s="121" t="s">
        <v>39</v>
      </c>
      <c r="O50" s="121" t="s">
        <v>40</v>
      </c>
      <c r="P50" s="121" t="s">
        <v>41</v>
      </c>
      <c r="Q50" s="121" t="s">
        <v>42</v>
      </c>
      <c r="R50" s="124">
        <v>45082</v>
      </c>
      <c r="S50" s="124">
        <v>45616</v>
      </c>
      <c r="T50" s="124">
        <v>45618</v>
      </c>
      <c r="U50" s="121"/>
      <c r="V50" s="121" t="s">
        <v>96</v>
      </c>
      <c r="W50" s="121" t="s">
        <v>395</v>
      </c>
      <c r="X50" s="121" t="s">
        <v>396</v>
      </c>
      <c r="Y50" s="120">
        <v>45569</v>
      </c>
      <c r="AA50" s="118" t="s">
        <v>45</v>
      </c>
      <c r="AB50" s="118" t="s">
        <v>74</v>
      </c>
      <c r="AC50" s="122">
        <v>0.75</v>
      </c>
    </row>
    <row r="51" spans="1:29" ht="75" hidden="1" x14ac:dyDescent="0.25">
      <c r="A51" s="142">
        <v>40</v>
      </c>
      <c r="B51" s="121" t="s">
        <v>397</v>
      </c>
      <c r="C51" s="121"/>
      <c r="D51" s="121"/>
      <c r="E51" s="121"/>
      <c r="F51" s="121" t="s">
        <v>398</v>
      </c>
      <c r="G51" s="121"/>
      <c r="H51" s="121"/>
      <c r="I51" s="121" t="s">
        <v>399</v>
      </c>
      <c r="J51" s="121" t="s">
        <v>70</v>
      </c>
      <c r="K51" s="121" t="s">
        <v>83</v>
      </c>
      <c r="L51" s="121"/>
      <c r="M51" s="121"/>
      <c r="N51" s="121" t="s">
        <v>40</v>
      </c>
      <c r="O51" s="121"/>
      <c r="P51" s="121" t="s">
        <v>57</v>
      </c>
      <c r="Q51" s="121" t="s">
        <v>42</v>
      </c>
      <c r="R51" s="124">
        <v>45625</v>
      </c>
      <c r="S51" s="124"/>
      <c r="T51" s="124"/>
      <c r="U51" s="121"/>
      <c r="V51" s="121"/>
      <c r="W51" s="121" t="s">
        <v>400</v>
      </c>
      <c r="X51" s="121" t="s">
        <v>401</v>
      </c>
      <c r="Y51" s="120">
        <v>45639</v>
      </c>
      <c r="AA51" s="118" t="s">
        <v>288</v>
      </c>
      <c r="AB51" s="118" t="s">
        <v>74</v>
      </c>
    </row>
    <row r="52" spans="1:29" ht="270" hidden="1" x14ac:dyDescent="0.25">
      <c r="A52" s="142" t="s">
        <v>402</v>
      </c>
      <c r="B52" s="121" t="s">
        <v>403</v>
      </c>
      <c r="C52" s="121" t="s">
        <v>404</v>
      </c>
      <c r="D52" s="121"/>
      <c r="E52" s="121" t="s">
        <v>405</v>
      </c>
      <c r="F52" s="121" t="s">
        <v>406</v>
      </c>
      <c r="G52" s="121" t="s">
        <v>407</v>
      </c>
      <c r="H52" s="121" t="s">
        <v>408</v>
      </c>
      <c r="I52" s="121" t="s">
        <v>185</v>
      </c>
      <c r="J52" s="121" t="s">
        <v>200</v>
      </c>
      <c r="K52" s="121" t="s">
        <v>56</v>
      </c>
      <c r="L52" s="121" t="s">
        <v>113</v>
      </c>
      <c r="M52" s="121"/>
      <c r="N52" s="121" t="s">
        <v>39</v>
      </c>
      <c r="O52" s="121"/>
      <c r="P52" s="121" t="s">
        <v>300</v>
      </c>
      <c r="Q52" s="121" t="s">
        <v>57</v>
      </c>
      <c r="R52" s="124">
        <v>45103</v>
      </c>
      <c r="S52" s="124">
        <v>45520</v>
      </c>
      <c r="T52" s="124">
        <v>45520</v>
      </c>
      <c r="U52" s="121"/>
      <c r="V52" s="121" t="s">
        <v>96</v>
      </c>
      <c r="W52" s="121" t="s">
        <v>409</v>
      </c>
      <c r="X52" s="121"/>
      <c r="Y52" s="120">
        <v>45512</v>
      </c>
      <c r="AA52" s="118" t="s">
        <v>45</v>
      </c>
    </row>
    <row r="53" spans="1:29" ht="330" hidden="1" x14ac:dyDescent="0.25">
      <c r="A53" s="142" t="s">
        <v>410</v>
      </c>
      <c r="B53" s="121" t="s">
        <v>403</v>
      </c>
      <c r="C53" s="121" t="s">
        <v>411</v>
      </c>
      <c r="D53" s="121" t="s">
        <v>412</v>
      </c>
      <c r="E53" s="121" t="s">
        <v>405</v>
      </c>
      <c r="F53" s="121" t="s">
        <v>406</v>
      </c>
      <c r="G53" s="121" t="s">
        <v>407</v>
      </c>
      <c r="H53" s="121" t="s">
        <v>408</v>
      </c>
      <c r="I53" s="121" t="s">
        <v>185</v>
      </c>
      <c r="J53" s="121" t="s">
        <v>200</v>
      </c>
      <c r="K53" s="121" t="s">
        <v>56</v>
      </c>
      <c r="L53" s="121" t="s">
        <v>113</v>
      </c>
      <c r="M53" s="121"/>
      <c r="N53" s="121" t="s">
        <v>39</v>
      </c>
      <c r="O53" s="121"/>
      <c r="P53" s="121" t="s">
        <v>300</v>
      </c>
      <c r="Q53" s="121" t="s">
        <v>57</v>
      </c>
      <c r="R53" s="124">
        <v>45103</v>
      </c>
      <c r="S53" s="124">
        <v>45594</v>
      </c>
      <c r="T53" s="124">
        <v>45594</v>
      </c>
      <c r="U53" s="121"/>
      <c r="V53" s="121" t="s">
        <v>96</v>
      </c>
      <c r="W53" s="121" t="s">
        <v>413</v>
      </c>
      <c r="X53" s="121" t="s">
        <v>414</v>
      </c>
      <c r="Y53" s="120">
        <v>45569</v>
      </c>
      <c r="AA53" s="118" t="s">
        <v>45</v>
      </c>
      <c r="AB53" s="118" t="s">
        <v>62</v>
      </c>
      <c r="AC53" s="122">
        <v>0.8</v>
      </c>
    </row>
    <row r="54" spans="1:29" ht="105" hidden="1" x14ac:dyDescent="0.25">
      <c r="A54" s="142" t="s">
        <v>415</v>
      </c>
      <c r="B54" s="121" t="s">
        <v>416</v>
      </c>
      <c r="C54" s="121" t="s">
        <v>417</v>
      </c>
      <c r="D54" s="121" t="s">
        <v>418</v>
      </c>
      <c r="E54" s="121" t="s">
        <v>419</v>
      </c>
      <c r="F54" s="121" t="s">
        <v>420</v>
      </c>
      <c r="G54" s="121" t="s">
        <v>265</v>
      </c>
      <c r="H54" s="121" t="s">
        <v>421</v>
      </c>
      <c r="I54" s="121" t="s">
        <v>69</v>
      </c>
      <c r="J54" s="121" t="s">
        <v>36</v>
      </c>
      <c r="K54" s="121" t="s">
        <v>37</v>
      </c>
      <c r="L54" s="121" t="s">
        <v>71</v>
      </c>
      <c r="M54" s="121" t="s">
        <v>266</v>
      </c>
      <c r="N54" s="121" t="s">
        <v>39</v>
      </c>
      <c r="O54" s="121" t="s">
        <v>40</v>
      </c>
      <c r="P54" s="121" t="s">
        <v>41</v>
      </c>
      <c r="Q54" s="121" t="s">
        <v>42</v>
      </c>
      <c r="R54" s="124">
        <v>45355</v>
      </c>
      <c r="S54" s="124"/>
      <c r="T54" s="124">
        <v>46171</v>
      </c>
      <c r="U54" s="121"/>
      <c r="V54" s="121" t="s">
        <v>43</v>
      </c>
      <c r="W54" s="121" t="s">
        <v>422</v>
      </c>
      <c r="X54" s="121" t="s">
        <v>423</v>
      </c>
      <c r="Y54" s="120">
        <v>45954</v>
      </c>
      <c r="Z54" s="120">
        <v>46164</v>
      </c>
      <c r="AA54" s="118" t="s">
        <v>73</v>
      </c>
    </row>
    <row r="55" spans="1:29" ht="135" hidden="1" x14ac:dyDescent="0.25">
      <c r="A55" s="142" t="s">
        <v>424</v>
      </c>
      <c r="B55" s="121" t="s">
        <v>181</v>
      </c>
      <c r="C55" s="121"/>
      <c r="D55" s="121" t="s">
        <v>425</v>
      </c>
      <c r="E55" s="121" t="s">
        <v>183</v>
      </c>
      <c r="F55" s="121" t="s">
        <v>119</v>
      </c>
      <c r="G55" s="121" t="s">
        <v>120</v>
      </c>
      <c r="H55" s="121" t="s">
        <v>426</v>
      </c>
      <c r="I55" s="121" t="s">
        <v>185</v>
      </c>
      <c r="J55" s="121" t="s">
        <v>144</v>
      </c>
      <c r="K55" s="121" t="s">
        <v>83</v>
      </c>
      <c r="L55" s="121" t="s">
        <v>224</v>
      </c>
      <c r="M55" s="121"/>
      <c r="N55" s="121" t="s">
        <v>39</v>
      </c>
      <c r="O55" s="121" t="s">
        <v>40</v>
      </c>
      <c r="P55" s="121" t="s">
        <v>57</v>
      </c>
      <c r="Q55" s="121" t="s">
        <v>42</v>
      </c>
      <c r="R55" s="124">
        <v>45271</v>
      </c>
      <c r="S55" s="124">
        <v>45674</v>
      </c>
      <c r="T55" s="124">
        <v>45716</v>
      </c>
      <c r="U55" s="121"/>
      <c r="V55" s="121" t="s">
        <v>59</v>
      </c>
      <c r="W55" s="121" t="s">
        <v>427</v>
      </c>
      <c r="X55" s="121"/>
      <c r="Y55" s="120">
        <v>45674</v>
      </c>
      <c r="Z55" s="120">
        <v>45674</v>
      </c>
      <c r="AA55" s="118" t="s">
        <v>45</v>
      </c>
      <c r="AB55" s="118" t="s">
        <v>74</v>
      </c>
    </row>
    <row r="56" spans="1:29" ht="75" hidden="1" x14ac:dyDescent="0.25">
      <c r="A56" s="142">
        <v>67</v>
      </c>
      <c r="B56" s="121" t="s">
        <v>428</v>
      </c>
      <c r="C56" s="121"/>
      <c r="D56" s="121"/>
      <c r="E56" s="121" t="s">
        <v>429</v>
      </c>
      <c r="F56" s="121" t="s">
        <v>430</v>
      </c>
      <c r="G56" s="121"/>
      <c r="H56" s="121"/>
      <c r="I56" s="121" t="s">
        <v>94</v>
      </c>
      <c r="J56" s="121" t="s">
        <v>431</v>
      </c>
      <c r="K56" s="121" t="s">
        <v>83</v>
      </c>
      <c r="L56" s="121"/>
      <c r="M56" s="121"/>
      <c r="N56" s="121" t="s">
        <v>39</v>
      </c>
      <c r="O56" s="121"/>
      <c r="P56" s="121" t="s">
        <v>57</v>
      </c>
      <c r="Q56" s="121" t="s">
        <v>57</v>
      </c>
      <c r="R56" s="124"/>
      <c r="S56" s="124"/>
      <c r="T56" s="124"/>
      <c r="U56" s="121"/>
      <c r="V56" s="121"/>
      <c r="W56" s="121" t="s">
        <v>432</v>
      </c>
      <c r="X56" s="121"/>
      <c r="Y56" s="120">
        <v>45485</v>
      </c>
      <c r="AA56" s="118" t="s">
        <v>288</v>
      </c>
    </row>
    <row r="57" spans="1:29" ht="60" hidden="1" x14ac:dyDescent="0.25">
      <c r="A57" s="142">
        <v>72</v>
      </c>
      <c r="B57" s="121" t="s">
        <v>433</v>
      </c>
      <c r="C57" s="121"/>
      <c r="D57" s="121" t="s">
        <v>434</v>
      </c>
      <c r="E57" s="121" t="s">
        <v>434</v>
      </c>
      <c r="F57" s="121" t="s">
        <v>435</v>
      </c>
      <c r="G57" s="121" t="s">
        <v>67</v>
      </c>
      <c r="H57" s="121" t="s">
        <v>436</v>
      </c>
      <c r="I57" s="121" t="s">
        <v>35</v>
      </c>
      <c r="J57" s="121" t="s">
        <v>144</v>
      </c>
      <c r="K57" s="121" t="s">
        <v>56</v>
      </c>
      <c r="L57" s="121"/>
      <c r="M57" s="121"/>
      <c r="N57" s="121" t="s">
        <v>39</v>
      </c>
      <c r="O57" s="121" t="s">
        <v>40</v>
      </c>
      <c r="P57" s="121" t="s">
        <v>105</v>
      </c>
      <c r="Q57" s="121" t="s">
        <v>58</v>
      </c>
      <c r="R57" s="124">
        <v>45544</v>
      </c>
      <c r="S57" s="124">
        <v>45589</v>
      </c>
      <c r="T57" s="124">
        <v>45589</v>
      </c>
      <c r="U57" s="121"/>
      <c r="V57" s="121" t="s">
        <v>43</v>
      </c>
      <c r="W57" s="121" t="s">
        <v>437</v>
      </c>
      <c r="X57" s="121"/>
      <c r="Y57" s="120">
        <v>45595</v>
      </c>
      <c r="AA57" s="118" t="s">
        <v>45</v>
      </c>
      <c r="AB57" s="118" t="s">
        <v>62</v>
      </c>
    </row>
    <row r="58" spans="1:29" ht="210" hidden="1" x14ac:dyDescent="0.25">
      <c r="A58" s="142">
        <v>77</v>
      </c>
      <c r="B58" s="121" t="s">
        <v>438</v>
      </c>
      <c r="C58" s="121"/>
      <c r="D58" s="121" t="s">
        <v>439</v>
      </c>
      <c r="E58" s="121" t="s">
        <v>440</v>
      </c>
      <c r="F58" s="121" t="s">
        <v>441</v>
      </c>
      <c r="G58" s="121" t="s">
        <v>264</v>
      </c>
      <c r="H58" s="121" t="s">
        <v>442</v>
      </c>
      <c r="I58" s="121" t="s">
        <v>35</v>
      </c>
      <c r="J58" s="121" t="s">
        <v>144</v>
      </c>
      <c r="K58" s="121" t="s">
        <v>56</v>
      </c>
      <c r="L58" s="121"/>
      <c r="M58" s="121"/>
      <c r="N58" s="121" t="s">
        <v>39</v>
      </c>
      <c r="O58" s="121" t="s">
        <v>40</v>
      </c>
      <c r="P58" s="121" t="s">
        <v>105</v>
      </c>
      <c r="Q58" s="121" t="s">
        <v>57</v>
      </c>
      <c r="R58" s="124">
        <v>45334</v>
      </c>
      <c r="S58" s="124">
        <v>45572</v>
      </c>
      <c r="T58" s="124">
        <v>45572</v>
      </c>
      <c r="U58" s="121"/>
      <c r="V58" s="121" t="s">
        <v>43</v>
      </c>
      <c r="W58" s="121" t="s">
        <v>443</v>
      </c>
      <c r="X58" s="121" t="s">
        <v>444</v>
      </c>
      <c r="Y58" s="120">
        <v>45576</v>
      </c>
      <c r="AA58" s="118" t="s">
        <v>45</v>
      </c>
      <c r="AB58" s="118" t="s">
        <v>62</v>
      </c>
    </row>
    <row r="59" spans="1:29" ht="60" hidden="1" x14ac:dyDescent="0.25">
      <c r="A59" s="142" t="s">
        <v>445</v>
      </c>
      <c r="B59" s="121" t="s">
        <v>446</v>
      </c>
      <c r="C59" s="121" t="s">
        <v>447</v>
      </c>
      <c r="D59" s="121"/>
      <c r="E59" s="121"/>
      <c r="F59" s="121"/>
      <c r="G59" s="121"/>
      <c r="H59" s="121"/>
      <c r="I59" s="121"/>
      <c r="J59" s="121" t="s">
        <v>70</v>
      </c>
      <c r="K59" s="121" t="s">
        <v>37</v>
      </c>
      <c r="L59" s="121"/>
      <c r="M59" s="121"/>
      <c r="N59" s="121"/>
      <c r="O59" s="121"/>
      <c r="P59" s="121" t="s">
        <v>448</v>
      </c>
      <c r="Q59" s="121"/>
      <c r="R59" s="124">
        <v>45292</v>
      </c>
      <c r="S59" s="124">
        <v>45566</v>
      </c>
      <c r="T59" s="124">
        <v>45566</v>
      </c>
      <c r="U59" s="121"/>
      <c r="V59" s="121" t="s">
        <v>96</v>
      </c>
      <c r="W59" s="121" t="s">
        <v>449</v>
      </c>
      <c r="X59" s="121" t="s">
        <v>450</v>
      </c>
      <c r="Y59" s="120">
        <v>45359</v>
      </c>
      <c r="AA59" s="118" t="s">
        <v>45</v>
      </c>
      <c r="AB59" s="118" t="s">
        <v>74</v>
      </c>
    </row>
    <row r="60" spans="1:29" ht="75" hidden="1" x14ac:dyDescent="0.25">
      <c r="A60" s="142">
        <v>82</v>
      </c>
      <c r="B60" s="121" t="s">
        <v>451</v>
      </c>
      <c r="C60" s="121"/>
      <c r="D60" s="121" t="s">
        <v>452</v>
      </c>
      <c r="E60" s="121" t="s">
        <v>453</v>
      </c>
      <c r="F60" s="121"/>
      <c r="G60" s="121" t="s">
        <v>282</v>
      </c>
      <c r="H60" s="121" t="s">
        <v>323</v>
      </c>
      <c r="I60" s="121" t="s">
        <v>185</v>
      </c>
      <c r="J60" s="121" t="s">
        <v>200</v>
      </c>
      <c r="K60" s="121" t="s">
        <v>56</v>
      </c>
      <c r="L60" s="121" t="s">
        <v>113</v>
      </c>
      <c r="M60" s="121"/>
      <c r="N60" s="121" t="s">
        <v>39</v>
      </c>
      <c r="O60" s="121" t="s">
        <v>40</v>
      </c>
      <c r="P60" s="121" t="s">
        <v>41</v>
      </c>
      <c r="Q60" s="121" t="s">
        <v>57</v>
      </c>
      <c r="R60" s="124">
        <v>45313</v>
      </c>
      <c r="S60" s="124">
        <v>45565</v>
      </c>
      <c r="T60" s="124">
        <v>45565</v>
      </c>
      <c r="U60" s="121"/>
      <c r="V60" s="121" t="s">
        <v>96</v>
      </c>
      <c r="W60" s="121" t="s">
        <v>454</v>
      </c>
      <c r="X60" s="121" t="s">
        <v>455</v>
      </c>
      <c r="Y60" s="120">
        <v>45478</v>
      </c>
      <c r="AA60" s="118" t="s">
        <v>45</v>
      </c>
      <c r="AB60" s="118" t="s">
        <v>245</v>
      </c>
    </row>
    <row r="61" spans="1:29" ht="150" hidden="1" x14ac:dyDescent="0.25">
      <c r="A61" s="142" t="s">
        <v>456</v>
      </c>
      <c r="B61" s="121" t="s">
        <v>457</v>
      </c>
      <c r="C61" s="121"/>
      <c r="D61" s="121" t="s">
        <v>458</v>
      </c>
      <c r="E61" s="121"/>
      <c r="F61" s="121" t="s">
        <v>32</v>
      </c>
      <c r="G61" s="121" t="s">
        <v>33</v>
      </c>
      <c r="H61" s="121" t="s">
        <v>34</v>
      </c>
      <c r="I61" s="121" t="s">
        <v>35</v>
      </c>
      <c r="J61" s="121" t="s">
        <v>36</v>
      </c>
      <c r="K61" s="121" t="s">
        <v>37</v>
      </c>
      <c r="L61" s="121"/>
      <c r="M61" s="121" t="s">
        <v>459</v>
      </c>
      <c r="N61" s="121" t="s">
        <v>39</v>
      </c>
      <c r="O61" s="121" t="s">
        <v>40</v>
      </c>
      <c r="P61" s="121" t="s">
        <v>105</v>
      </c>
      <c r="Q61" s="121" t="s">
        <v>42</v>
      </c>
      <c r="R61" s="124">
        <v>45717</v>
      </c>
      <c r="S61" s="124">
        <v>45777</v>
      </c>
      <c r="T61" s="124">
        <v>45777</v>
      </c>
      <c r="U61" s="121"/>
      <c r="V61" s="121" t="s">
        <v>43</v>
      </c>
      <c r="W61" s="121" t="s">
        <v>460</v>
      </c>
      <c r="X61" s="121" t="s">
        <v>461</v>
      </c>
      <c r="Y61" s="120">
        <v>45679</v>
      </c>
      <c r="AA61" s="118" t="s">
        <v>45</v>
      </c>
    </row>
    <row r="62" spans="1:29" ht="45" hidden="1" x14ac:dyDescent="0.25">
      <c r="A62" s="142" t="s">
        <v>462</v>
      </c>
      <c r="B62" s="121" t="s">
        <v>463</v>
      </c>
      <c r="C62" s="121"/>
      <c r="D62" s="121" t="s">
        <v>464</v>
      </c>
      <c r="E62" s="121"/>
      <c r="F62" s="121" t="s">
        <v>148</v>
      </c>
      <c r="G62" s="121" t="s">
        <v>465</v>
      </c>
      <c r="H62" s="121" t="s">
        <v>466</v>
      </c>
      <c r="I62" s="121" t="s">
        <v>69</v>
      </c>
      <c r="J62" s="121" t="s">
        <v>36</v>
      </c>
      <c r="K62" s="121" t="s">
        <v>37</v>
      </c>
      <c r="L62" s="121" t="s">
        <v>104</v>
      </c>
      <c r="M62" s="121" t="s">
        <v>467</v>
      </c>
      <c r="N62" s="121" t="s">
        <v>39</v>
      </c>
      <c r="O62" s="121" t="s">
        <v>40</v>
      </c>
      <c r="P62" s="121" t="s">
        <v>41</v>
      </c>
      <c r="Q62" s="121" t="s">
        <v>42</v>
      </c>
      <c r="R62" s="124">
        <v>45911</v>
      </c>
      <c r="S62" s="124"/>
      <c r="T62" s="124">
        <v>46234</v>
      </c>
      <c r="U62" s="121"/>
      <c r="V62" s="121" t="s">
        <v>43</v>
      </c>
      <c r="W62" s="121" t="s">
        <v>468</v>
      </c>
      <c r="X62" s="121" t="s">
        <v>469</v>
      </c>
      <c r="Y62" s="120">
        <v>46031</v>
      </c>
      <c r="Z62" s="120">
        <v>46142</v>
      </c>
      <c r="AA62" s="118" t="s">
        <v>73</v>
      </c>
      <c r="AB62" s="118" t="s">
        <v>74</v>
      </c>
    </row>
    <row r="63" spans="1:29" ht="30" hidden="1" x14ac:dyDescent="0.25">
      <c r="A63" s="142" t="s">
        <v>470</v>
      </c>
      <c r="B63" s="121" t="s">
        <v>471</v>
      </c>
      <c r="C63" s="121"/>
      <c r="D63" s="121" t="s">
        <v>472</v>
      </c>
      <c r="E63" s="121"/>
      <c r="F63" s="121" t="s">
        <v>473</v>
      </c>
      <c r="G63" s="121" t="s">
        <v>264</v>
      </c>
      <c r="H63" s="121" t="s">
        <v>67</v>
      </c>
      <c r="I63" s="121" t="s">
        <v>69</v>
      </c>
      <c r="J63" s="121" t="s">
        <v>36</v>
      </c>
      <c r="K63" s="121" t="s">
        <v>37</v>
      </c>
      <c r="L63" s="121"/>
      <c r="M63" s="121" t="s">
        <v>474</v>
      </c>
      <c r="N63" s="121" t="s">
        <v>39</v>
      </c>
      <c r="O63" s="121" t="s">
        <v>40</v>
      </c>
      <c r="P63" s="121" t="s">
        <v>41</v>
      </c>
      <c r="Q63" s="121" t="s">
        <v>42</v>
      </c>
      <c r="R63" s="124">
        <v>45327</v>
      </c>
      <c r="S63" s="124">
        <v>45912</v>
      </c>
      <c r="T63" s="124">
        <v>45808</v>
      </c>
      <c r="U63" s="121"/>
      <c r="V63" s="121" t="s">
        <v>43</v>
      </c>
      <c r="W63" s="121"/>
      <c r="X63" s="121"/>
      <c r="AA63" s="118" t="s">
        <v>45</v>
      </c>
      <c r="AB63" s="118" t="s">
        <v>62</v>
      </c>
    </row>
    <row r="64" spans="1:29" ht="30" hidden="1" x14ac:dyDescent="0.25">
      <c r="A64" s="142" t="s">
        <v>475</v>
      </c>
      <c r="B64" s="121" t="s">
        <v>476</v>
      </c>
      <c r="C64" s="121"/>
      <c r="D64" s="121" t="s">
        <v>477</v>
      </c>
      <c r="E64" s="121"/>
      <c r="F64" s="121" t="s">
        <v>478</v>
      </c>
      <c r="G64" s="121" t="s">
        <v>479</v>
      </c>
      <c r="H64" s="121" t="s">
        <v>67</v>
      </c>
      <c r="I64" s="121" t="s">
        <v>69</v>
      </c>
      <c r="J64" s="121" t="s">
        <v>36</v>
      </c>
      <c r="K64" s="121" t="s">
        <v>37</v>
      </c>
      <c r="L64" s="121"/>
      <c r="M64" s="121" t="s">
        <v>266</v>
      </c>
      <c r="N64" s="121" t="s">
        <v>39</v>
      </c>
      <c r="O64" s="121" t="s">
        <v>40</v>
      </c>
      <c r="P64" s="121" t="s">
        <v>41</v>
      </c>
      <c r="Q64" s="121" t="s">
        <v>42</v>
      </c>
      <c r="R64" s="124">
        <v>45327</v>
      </c>
      <c r="S64" s="124">
        <v>45989</v>
      </c>
      <c r="T64" s="124">
        <v>45991</v>
      </c>
      <c r="U64" s="121"/>
      <c r="V64" s="121" t="s">
        <v>43</v>
      </c>
      <c r="W64" s="121"/>
      <c r="X64" s="121" t="s">
        <v>480</v>
      </c>
      <c r="Y64" s="120">
        <v>45989</v>
      </c>
      <c r="AA64" s="118" t="s">
        <v>45</v>
      </c>
    </row>
    <row r="65" spans="1:29" ht="45" hidden="1" x14ac:dyDescent="0.25">
      <c r="A65" s="142">
        <v>94</v>
      </c>
      <c r="B65" s="121" t="s">
        <v>481</v>
      </c>
      <c r="C65" s="121"/>
      <c r="D65" s="121" t="s">
        <v>482</v>
      </c>
      <c r="E65" s="121"/>
      <c r="F65" s="121" t="s">
        <v>32</v>
      </c>
      <c r="G65" s="121" t="s">
        <v>33</v>
      </c>
      <c r="H65" s="121" t="s">
        <v>34</v>
      </c>
      <c r="I65" s="121" t="s">
        <v>35</v>
      </c>
      <c r="J65" s="121" t="s">
        <v>36</v>
      </c>
      <c r="K65" s="121" t="s">
        <v>37</v>
      </c>
      <c r="L65" s="121"/>
      <c r="M65" s="121" t="s">
        <v>481</v>
      </c>
      <c r="N65" s="121" t="s">
        <v>39</v>
      </c>
      <c r="O65" s="121" t="s">
        <v>40</v>
      </c>
      <c r="P65" s="121" t="s">
        <v>105</v>
      </c>
      <c r="Q65" s="121" t="s">
        <v>42</v>
      </c>
      <c r="R65" s="124"/>
      <c r="S65" s="124"/>
      <c r="T65" s="124"/>
      <c r="U65" s="121"/>
      <c r="V65" s="121" t="s">
        <v>43</v>
      </c>
      <c r="W65" s="121"/>
      <c r="X65" s="121"/>
      <c r="AA65" s="118" t="s">
        <v>288</v>
      </c>
      <c r="AB65" s="118" t="s">
        <v>483</v>
      </c>
    </row>
    <row r="66" spans="1:29" ht="90" hidden="1" x14ac:dyDescent="0.25">
      <c r="A66" s="142">
        <v>98</v>
      </c>
      <c r="B66" s="121" t="s">
        <v>484</v>
      </c>
      <c r="C66" s="121"/>
      <c r="D66" s="121" t="s">
        <v>485</v>
      </c>
      <c r="E66" s="121" t="s">
        <v>486</v>
      </c>
      <c r="F66" s="121" t="s">
        <v>119</v>
      </c>
      <c r="G66" s="121" t="s">
        <v>92</v>
      </c>
      <c r="H66" s="121" t="s">
        <v>479</v>
      </c>
      <c r="I66" s="121" t="s">
        <v>487</v>
      </c>
      <c r="J66" s="121" t="s">
        <v>488</v>
      </c>
      <c r="K66" s="121" t="s">
        <v>56</v>
      </c>
      <c r="L66" s="121"/>
      <c r="M66" s="121"/>
      <c r="N66" s="121" t="s">
        <v>40</v>
      </c>
      <c r="O66" s="121"/>
      <c r="P66" s="121" t="s">
        <v>57</v>
      </c>
      <c r="Q66" s="121" t="s">
        <v>57</v>
      </c>
      <c r="R66" s="124">
        <v>45418</v>
      </c>
      <c r="S66" s="124">
        <v>45555</v>
      </c>
      <c r="T66" s="124">
        <v>45555</v>
      </c>
      <c r="U66" s="121">
        <v>45478</v>
      </c>
      <c r="V66" s="121" t="s">
        <v>84</v>
      </c>
      <c r="W66" s="121" t="s">
        <v>489</v>
      </c>
      <c r="X66" s="121" t="s">
        <v>490</v>
      </c>
      <c r="Y66" s="120">
        <v>45548</v>
      </c>
      <c r="AA66" s="118" t="s">
        <v>45</v>
      </c>
      <c r="AB66" s="118" t="s">
        <v>62</v>
      </c>
      <c r="AC66" s="122">
        <v>0.9</v>
      </c>
    </row>
    <row r="67" spans="1:29" ht="30" hidden="1" x14ac:dyDescent="0.25">
      <c r="A67" s="142" t="s">
        <v>491</v>
      </c>
      <c r="B67" s="121" t="s">
        <v>492</v>
      </c>
      <c r="C67" s="121"/>
      <c r="D67" s="121" t="s">
        <v>493</v>
      </c>
      <c r="E67" s="121"/>
      <c r="F67" s="121" t="s">
        <v>111</v>
      </c>
      <c r="G67" s="121" t="s">
        <v>494</v>
      </c>
      <c r="H67" s="121" t="s">
        <v>495</v>
      </c>
      <c r="I67" s="121" t="s">
        <v>69</v>
      </c>
      <c r="J67" s="121" t="s">
        <v>36</v>
      </c>
      <c r="K67" s="121" t="s">
        <v>37</v>
      </c>
      <c r="L67" s="121"/>
      <c r="M67" s="121" t="s">
        <v>496</v>
      </c>
      <c r="N67" s="121" t="s">
        <v>39</v>
      </c>
      <c r="O67" s="121" t="s">
        <v>40</v>
      </c>
      <c r="P67" s="121" t="s">
        <v>105</v>
      </c>
      <c r="Q67" s="121" t="s">
        <v>42</v>
      </c>
      <c r="R67" s="124">
        <v>45444</v>
      </c>
      <c r="S67" s="124"/>
      <c r="T67" s="124">
        <v>46934</v>
      </c>
      <c r="U67" s="121"/>
      <c r="V67" s="121" t="s">
        <v>43</v>
      </c>
      <c r="W67" s="121" t="s">
        <v>497</v>
      </c>
      <c r="X67" s="121" t="s">
        <v>498</v>
      </c>
      <c r="Y67" s="120">
        <v>45954</v>
      </c>
      <c r="Z67" s="120">
        <v>46108</v>
      </c>
      <c r="AA67" s="118" t="s">
        <v>73</v>
      </c>
      <c r="AB67" s="118" t="s">
        <v>74</v>
      </c>
    </row>
    <row r="68" spans="1:29" ht="240" hidden="1" x14ac:dyDescent="0.25">
      <c r="A68" s="142" t="s">
        <v>499</v>
      </c>
      <c r="B68" s="121" t="s">
        <v>500</v>
      </c>
      <c r="C68" s="121"/>
      <c r="D68" s="121" t="s">
        <v>501</v>
      </c>
      <c r="E68" s="121"/>
      <c r="F68" s="121" t="s">
        <v>111</v>
      </c>
      <c r="G68" s="121" t="s">
        <v>495</v>
      </c>
      <c r="H68" s="121" t="s">
        <v>502</v>
      </c>
      <c r="I68" s="121" t="s">
        <v>35</v>
      </c>
      <c r="J68" s="121" t="s">
        <v>36</v>
      </c>
      <c r="K68" s="121" t="s">
        <v>37</v>
      </c>
      <c r="L68" s="121"/>
      <c r="M68" s="121" t="s">
        <v>72</v>
      </c>
      <c r="N68" s="121" t="s">
        <v>39</v>
      </c>
      <c r="O68" s="121" t="s">
        <v>40</v>
      </c>
      <c r="P68" s="121" t="s">
        <v>105</v>
      </c>
      <c r="Q68" s="121" t="s">
        <v>57</v>
      </c>
      <c r="R68" s="124">
        <v>45194</v>
      </c>
      <c r="S68" s="124"/>
      <c r="T68" s="124"/>
      <c r="U68" s="121"/>
      <c r="V68" s="121" t="s">
        <v>43</v>
      </c>
      <c r="W68" s="121" t="s">
        <v>503</v>
      </c>
      <c r="X68" s="121" t="s">
        <v>504</v>
      </c>
      <c r="Y68" s="120">
        <v>46080</v>
      </c>
      <c r="Z68" s="120">
        <v>46108</v>
      </c>
      <c r="AA68" s="118" t="s">
        <v>73</v>
      </c>
      <c r="AB68" s="118" t="s">
        <v>74</v>
      </c>
    </row>
    <row r="69" spans="1:29" ht="135" hidden="1" x14ac:dyDescent="0.25">
      <c r="A69" s="142">
        <v>105</v>
      </c>
      <c r="B69" s="121" t="s">
        <v>505</v>
      </c>
      <c r="C69" s="121"/>
      <c r="D69" s="121" t="s">
        <v>505</v>
      </c>
      <c r="E69" s="121" t="s">
        <v>506</v>
      </c>
      <c r="F69" s="121" t="s">
        <v>119</v>
      </c>
      <c r="G69" s="121" t="s">
        <v>67</v>
      </c>
      <c r="H69" s="121" t="s">
        <v>507</v>
      </c>
      <c r="I69" s="121" t="s">
        <v>54</v>
      </c>
      <c r="J69" s="121" t="s">
        <v>70</v>
      </c>
      <c r="K69" s="121" t="s">
        <v>56</v>
      </c>
      <c r="L69" s="121"/>
      <c r="M69" s="121" t="s">
        <v>72</v>
      </c>
      <c r="N69" s="121" t="s">
        <v>39</v>
      </c>
      <c r="O69" s="121" t="s">
        <v>40</v>
      </c>
      <c r="P69" s="121" t="s">
        <v>300</v>
      </c>
      <c r="Q69" s="121" t="s">
        <v>57</v>
      </c>
      <c r="R69" s="124">
        <v>45397</v>
      </c>
      <c r="S69" s="124">
        <v>45856</v>
      </c>
      <c r="T69" s="124">
        <v>46022</v>
      </c>
      <c r="U69" s="121">
        <v>45856</v>
      </c>
      <c r="V69" s="121" t="s">
        <v>96</v>
      </c>
      <c r="W69" s="121" t="s">
        <v>508</v>
      </c>
      <c r="X69" s="121" t="s">
        <v>509</v>
      </c>
      <c r="Y69" s="120">
        <v>45856</v>
      </c>
      <c r="Z69" s="120">
        <v>45856</v>
      </c>
      <c r="AA69" s="118" t="s">
        <v>45</v>
      </c>
      <c r="AB69" s="118" t="s">
        <v>74</v>
      </c>
    </row>
    <row r="70" spans="1:29" ht="135" hidden="1" x14ac:dyDescent="0.25">
      <c r="A70" s="142">
        <v>110</v>
      </c>
      <c r="B70" s="121" t="s">
        <v>510</v>
      </c>
      <c r="C70" s="121" t="s">
        <v>511</v>
      </c>
      <c r="D70" s="121"/>
      <c r="E70" s="121" t="s">
        <v>512</v>
      </c>
      <c r="F70" s="121" t="s">
        <v>513</v>
      </c>
      <c r="G70" s="121" t="s">
        <v>282</v>
      </c>
      <c r="H70" s="121" t="s">
        <v>67</v>
      </c>
      <c r="I70" s="121" t="s">
        <v>185</v>
      </c>
      <c r="J70" s="121" t="s">
        <v>138</v>
      </c>
      <c r="K70" s="121" t="s">
        <v>56</v>
      </c>
      <c r="L70" s="121"/>
      <c r="M70" s="121"/>
      <c r="N70" s="121" t="s">
        <v>39</v>
      </c>
      <c r="O70" s="121"/>
      <c r="P70" s="121" t="s">
        <v>300</v>
      </c>
      <c r="Q70" s="121" t="s">
        <v>58</v>
      </c>
      <c r="R70" s="124">
        <v>45719</v>
      </c>
      <c r="S70" s="124"/>
      <c r="T70" s="124"/>
      <c r="U70" s="121"/>
      <c r="V70" s="121"/>
      <c r="W70" s="121"/>
      <c r="X70" s="121"/>
      <c r="AA70" s="118" t="s">
        <v>288</v>
      </c>
      <c r="AB70" s="118" t="s">
        <v>514</v>
      </c>
    </row>
    <row r="71" spans="1:29" ht="270" hidden="1" x14ac:dyDescent="0.25">
      <c r="A71" s="142">
        <v>111</v>
      </c>
      <c r="B71" s="121" t="s">
        <v>515</v>
      </c>
      <c r="C71" s="121"/>
      <c r="D71" s="121" t="s">
        <v>516</v>
      </c>
      <c r="E71" s="121" t="s">
        <v>517</v>
      </c>
      <c r="F71" s="121" t="s">
        <v>518</v>
      </c>
      <c r="G71" s="121" t="s">
        <v>519</v>
      </c>
      <c r="H71" s="121" t="s">
        <v>520</v>
      </c>
      <c r="I71" s="121" t="s">
        <v>185</v>
      </c>
      <c r="J71" s="121" t="s">
        <v>70</v>
      </c>
      <c r="K71" s="121" t="s">
        <v>83</v>
      </c>
      <c r="L71" s="121" t="s">
        <v>113</v>
      </c>
      <c r="M71" s="121" t="s">
        <v>72</v>
      </c>
      <c r="N71" s="121"/>
      <c r="O71" s="121" t="s">
        <v>39</v>
      </c>
      <c r="P71" s="121" t="s">
        <v>300</v>
      </c>
      <c r="Q71" s="121" t="s">
        <v>58</v>
      </c>
      <c r="R71" s="124">
        <v>45624</v>
      </c>
      <c r="S71" s="124">
        <v>45930</v>
      </c>
      <c r="T71" s="124">
        <v>45930</v>
      </c>
      <c r="U71" s="121"/>
      <c r="V71" s="121" t="s">
        <v>96</v>
      </c>
      <c r="W71" s="121" t="s">
        <v>521</v>
      </c>
      <c r="X71" s="121" t="s">
        <v>522</v>
      </c>
      <c r="Y71" s="120">
        <v>45929</v>
      </c>
      <c r="Z71" s="120">
        <v>45933</v>
      </c>
      <c r="AA71" s="118" t="s">
        <v>45</v>
      </c>
      <c r="AB71" s="118" t="s">
        <v>74</v>
      </c>
    </row>
    <row r="72" spans="1:29" ht="75" hidden="1" x14ac:dyDescent="0.25">
      <c r="A72" s="142">
        <v>112</v>
      </c>
      <c r="B72" s="121" t="s">
        <v>523</v>
      </c>
      <c r="C72" s="121"/>
      <c r="D72" s="121" t="s">
        <v>524</v>
      </c>
      <c r="E72" s="121"/>
      <c r="F72" s="121" t="s">
        <v>525</v>
      </c>
      <c r="G72" s="121" t="s">
        <v>264</v>
      </c>
      <c r="H72" s="121" t="s">
        <v>526</v>
      </c>
      <c r="I72" s="121" t="s">
        <v>35</v>
      </c>
      <c r="J72" s="121" t="s">
        <v>144</v>
      </c>
      <c r="K72" s="121" t="s">
        <v>56</v>
      </c>
      <c r="L72" s="121"/>
      <c r="M72" s="121"/>
      <c r="N72" s="121" t="s">
        <v>39</v>
      </c>
      <c r="O72" s="121" t="s">
        <v>40</v>
      </c>
      <c r="P72" s="121" t="s">
        <v>105</v>
      </c>
      <c r="Q72" s="121" t="s">
        <v>58</v>
      </c>
      <c r="R72" s="124">
        <v>45579</v>
      </c>
      <c r="S72" s="124">
        <v>45600</v>
      </c>
      <c r="T72" s="124">
        <v>45600</v>
      </c>
      <c r="U72" s="121"/>
      <c r="V72" s="121" t="s">
        <v>43</v>
      </c>
      <c r="W72" s="121" t="s">
        <v>527</v>
      </c>
      <c r="X72" s="121" t="s">
        <v>528</v>
      </c>
      <c r="Y72" s="120">
        <v>45569</v>
      </c>
      <c r="AA72" s="118" t="s">
        <v>45</v>
      </c>
      <c r="AB72" s="118" t="s">
        <v>74</v>
      </c>
    </row>
    <row r="73" spans="1:29" ht="60" hidden="1" x14ac:dyDescent="0.25">
      <c r="A73" s="142">
        <v>113</v>
      </c>
      <c r="B73" s="121" t="s">
        <v>529</v>
      </c>
      <c r="C73" s="121"/>
      <c r="D73" s="121" t="s">
        <v>530</v>
      </c>
      <c r="E73" s="121" t="s">
        <v>530</v>
      </c>
      <c r="F73" s="121" t="s">
        <v>435</v>
      </c>
      <c r="G73" s="121" t="s">
        <v>264</v>
      </c>
      <c r="H73" s="121" t="s">
        <v>531</v>
      </c>
      <c r="I73" s="121" t="s">
        <v>35</v>
      </c>
      <c r="J73" s="121" t="s">
        <v>144</v>
      </c>
      <c r="K73" s="121" t="s">
        <v>56</v>
      </c>
      <c r="L73" s="121"/>
      <c r="M73" s="121"/>
      <c r="N73" s="121" t="s">
        <v>39</v>
      </c>
      <c r="O73" s="121" t="s">
        <v>40</v>
      </c>
      <c r="P73" s="121" t="s">
        <v>105</v>
      </c>
      <c r="Q73" s="121" t="s">
        <v>57</v>
      </c>
      <c r="R73" s="124">
        <v>45544</v>
      </c>
      <c r="S73" s="124">
        <v>45559</v>
      </c>
      <c r="T73" s="124">
        <v>45559</v>
      </c>
      <c r="U73" s="121"/>
      <c r="V73" s="121" t="s">
        <v>43</v>
      </c>
      <c r="W73" s="121"/>
      <c r="X73" s="121"/>
      <c r="AA73" s="118" t="s">
        <v>45</v>
      </c>
      <c r="AB73" s="118" t="s">
        <v>74</v>
      </c>
    </row>
    <row r="74" spans="1:29" ht="120" hidden="1" x14ac:dyDescent="0.25">
      <c r="A74" s="142" t="s">
        <v>532</v>
      </c>
      <c r="B74" s="121" t="s">
        <v>219</v>
      </c>
      <c r="C74" s="121" t="s">
        <v>533</v>
      </c>
      <c r="D74" s="121" t="s">
        <v>534</v>
      </c>
      <c r="E74" s="121" t="s">
        <v>535</v>
      </c>
      <c r="F74" s="121" t="s">
        <v>142</v>
      </c>
      <c r="G74" s="121" t="s">
        <v>264</v>
      </c>
      <c r="H74" s="121" t="s">
        <v>531</v>
      </c>
      <c r="I74" s="121" t="s">
        <v>536</v>
      </c>
      <c r="J74" s="121" t="s">
        <v>144</v>
      </c>
      <c r="K74" s="121" t="s">
        <v>56</v>
      </c>
      <c r="L74" s="121" t="s">
        <v>537</v>
      </c>
      <c r="M74" s="121"/>
      <c r="N74" s="121" t="s">
        <v>39</v>
      </c>
      <c r="O74" s="121" t="s">
        <v>40</v>
      </c>
      <c r="P74" s="121" t="s">
        <v>105</v>
      </c>
      <c r="Q74" s="121" t="s">
        <v>42</v>
      </c>
      <c r="R74" s="124">
        <v>45530</v>
      </c>
      <c r="S74" s="124">
        <v>45574</v>
      </c>
      <c r="T74" s="124">
        <v>45574</v>
      </c>
      <c r="U74" s="121"/>
      <c r="V74" s="121" t="s">
        <v>43</v>
      </c>
      <c r="W74" s="121" t="s">
        <v>538</v>
      </c>
      <c r="X74" s="121"/>
      <c r="Y74" s="120">
        <v>45569</v>
      </c>
      <c r="AA74" s="118" t="s">
        <v>45</v>
      </c>
      <c r="AB74" s="118" t="s">
        <v>74</v>
      </c>
      <c r="AC74" s="122">
        <v>0.85</v>
      </c>
    </row>
    <row r="75" spans="1:29" ht="210" hidden="1" x14ac:dyDescent="0.25">
      <c r="A75" s="142">
        <v>115</v>
      </c>
      <c r="B75" s="121" t="s">
        <v>539</v>
      </c>
      <c r="C75" s="121"/>
      <c r="D75" s="121" t="s">
        <v>540</v>
      </c>
      <c r="E75" s="121" t="s">
        <v>541</v>
      </c>
      <c r="F75" s="121" t="s">
        <v>542</v>
      </c>
      <c r="G75" s="121" t="s">
        <v>67</v>
      </c>
      <c r="H75" s="121" t="s">
        <v>448</v>
      </c>
      <c r="I75" s="121" t="s">
        <v>299</v>
      </c>
      <c r="J75" s="121" t="s">
        <v>284</v>
      </c>
      <c r="K75" s="121" t="s">
        <v>83</v>
      </c>
      <c r="L75" s="121"/>
      <c r="M75" s="121"/>
      <c r="N75" s="121" t="s">
        <v>39</v>
      </c>
      <c r="O75" s="121" t="s">
        <v>39</v>
      </c>
      <c r="P75" s="121" t="s">
        <v>300</v>
      </c>
      <c r="Q75" s="121" t="s">
        <v>57</v>
      </c>
      <c r="R75" s="124">
        <v>45544</v>
      </c>
      <c r="S75" s="124">
        <v>45790</v>
      </c>
      <c r="T75" s="124">
        <v>45807</v>
      </c>
      <c r="U75" s="121"/>
      <c r="V75" s="121" t="s">
        <v>96</v>
      </c>
      <c r="W75" s="121" t="s">
        <v>543</v>
      </c>
      <c r="X75" s="121" t="s">
        <v>544</v>
      </c>
      <c r="Y75" s="120">
        <v>45786</v>
      </c>
      <c r="Z75" s="120">
        <v>45807</v>
      </c>
      <c r="AA75" s="118" t="s">
        <v>45</v>
      </c>
      <c r="AB75" s="118" t="s">
        <v>74</v>
      </c>
    </row>
    <row r="76" spans="1:29" ht="60" hidden="1" x14ac:dyDescent="0.25">
      <c r="A76" s="142" t="s">
        <v>545</v>
      </c>
      <c r="B76" s="121" t="s">
        <v>546</v>
      </c>
      <c r="C76" s="121"/>
      <c r="D76" s="121" t="s">
        <v>547</v>
      </c>
      <c r="E76" s="121" t="s">
        <v>548</v>
      </c>
      <c r="F76" s="121" t="s">
        <v>549</v>
      </c>
      <c r="G76" s="121" t="s">
        <v>265</v>
      </c>
      <c r="H76" s="121" t="s">
        <v>550</v>
      </c>
      <c r="I76" s="121" t="s">
        <v>551</v>
      </c>
      <c r="J76" s="121" t="s">
        <v>55</v>
      </c>
      <c r="K76" s="121" t="s">
        <v>56</v>
      </c>
      <c r="L76" s="121"/>
      <c r="M76" s="121"/>
      <c r="N76" s="121" t="s">
        <v>39</v>
      </c>
      <c r="O76" s="121" t="s">
        <v>40</v>
      </c>
      <c r="P76" s="121" t="s">
        <v>105</v>
      </c>
      <c r="Q76" s="121" t="s">
        <v>57</v>
      </c>
      <c r="R76" s="124">
        <v>45474</v>
      </c>
      <c r="S76" s="124">
        <v>45572</v>
      </c>
      <c r="T76" s="124">
        <v>45572</v>
      </c>
      <c r="U76" s="121"/>
      <c r="V76" s="121" t="s">
        <v>43</v>
      </c>
      <c r="W76" s="121" t="s">
        <v>552</v>
      </c>
      <c r="X76" s="121" t="s">
        <v>553</v>
      </c>
      <c r="Y76" s="120">
        <v>45569</v>
      </c>
      <c r="AA76" s="118" t="s">
        <v>45</v>
      </c>
      <c r="AB76" s="118" t="s">
        <v>74</v>
      </c>
    </row>
    <row r="77" spans="1:29" ht="45" hidden="1" x14ac:dyDescent="0.25">
      <c r="A77" s="142" t="s">
        <v>554</v>
      </c>
      <c r="B77" s="121" t="s">
        <v>555</v>
      </c>
      <c r="C77" s="121"/>
      <c r="D77" s="121" t="s">
        <v>556</v>
      </c>
      <c r="E77" s="121"/>
      <c r="F77" s="121" t="s">
        <v>557</v>
      </c>
      <c r="G77" s="121" t="s">
        <v>479</v>
      </c>
      <c r="H77" s="121" t="s">
        <v>558</v>
      </c>
      <c r="I77" s="121" t="s">
        <v>551</v>
      </c>
      <c r="J77" s="121" t="s">
        <v>55</v>
      </c>
      <c r="K77" s="121" t="s">
        <v>56</v>
      </c>
      <c r="L77" s="121"/>
      <c r="M77" s="121"/>
      <c r="N77" s="121" t="s">
        <v>39</v>
      </c>
      <c r="O77" s="121"/>
      <c r="P77" s="121" t="s">
        <v>57</v>
      </c>
      <c r="Q77" s="121" t="s">
        <v>301</v>
      </c>
      <c r="R77" s="124">
        <v>45642</v>
      </c>
      <c r="S77" s="124">
        <v>45646</v>
      </c>
      <c r="T77" s="124">
        <v>45646</v>
      </c>
      <c r="U77" s="121"/>
      <c r="V77" s="121" t="s">
        <v>84</v>
      </c>
      <c r="W77" s="121" t="s">
        <v>559</v>
      </c>
      <c r="X77" s="121"/>
      <c r="Y77" s="120">
        <v>45625</v>
      </c>
      <c r="AA77" s="118" t="s">
        <v>45</v>
      </c>
      <c r="AB77" s="118" t="s">
        <v>514</v>
      </c>
    </row>
    <row r="78" spans="1:29" ht="45" hidden="1" x14ac:dyDescent="0.25">
      <c r="A78" s="142" t="s">
        <v>560</v>
      </c>
      <c r="B78" s="121" t="s">
        <v>561</v>
      </c>
      <c r="C78" s="121"/>
      <c r="D78" s="121" t="s">
        <v>562</v>
      </c>
      <c r="E78" s="121"/>
      <c r="F78" s="121" t="s">
        <v>240</v>
      </c>
      <c r="G78" s="121" t="s">
        <v>92</v>
      </c>
      <c r="H78" s="121" t="s">
        <v>563</v>
      </c>
      <c r="I78" s="121" t="s">
        <v>551</v>
      </c>
      <c r="J78" s="121" t="s">
        <v>55</v>
      </c>
      <c r="K78" s="121" t="s">
        <v>56</v>
      </c>
      <c r="L78" s="121"/>
      <c r="M78" s="121"/>
      <c r="N78" s="121" t="s">
        <v>39</v>
      </c>
      <c r="O78" s="121" t="s">
        <v>40</v>
      </c>
      <c r="P78" s="121" t="s">
        <v>41</v>
      </c>
      <c r="Q78" s="121" t="s">
        <v>57</v>
      </c>
      <c r="R78" s="124">
        <v>45525</v>
      </c>
      <c r="S78" s="124">
        <v>45565</v>
      </c>
      <c r="T78" s="124">
        <v>45565</v>
      </c>
      <c r="U78" s="121"/>
      <c r="V78" s="121" t="s">
        <v>59</v>
      </c>
      <c r="W78" s="121"/>
      <c r="X78" s="121"/>
      <c r="AA78" s="118" t="s">
        <v>45</v>
      </c>
      <c r="AB78" s="118" t="s">
        <v>74</v>
      </c>
    </row>
    <row r="79" spans="1:29" ht="90" hidden="1" x14ac:dyDescent="0.25">
      <c r="A79" s="142" t="s">
        <v>564</v>
      </c>
      <c r="B79" s="121" t="s">
        <v>565</v>
      </c>
      <c r="C79" s="121"/>
      <c r="D79" s="121" t="s">
        <v>565</v>
      </c>
      <c r="E79" s="121"/>
      <c r="F79" s="121" t="s">
        <v>101</v>
      </c>
      <c r="G79" s="121" t="s">
        <v>566</v>
      </c>
      <c r="H79" s="121" t="s">
        <v>567</v>
      </c>
      <c r="I79" s="121" t="s">
        <v>103</v>
      </c>
      <c r="J79" s="121" t="s">
        <v>55</v>
      </c>
      <c r="K79" s="121" t="s">
        <v>56</v>
      </c>
      <c r="L79" s="121"/>
      <c r="M79" s="121"/>
      <c r="N79" s="121" t="s">
        <v>39</v>
      </c>
      <c r="O79" s="121" t="s">
        <v>40</v>
      </c>
      <c r="P79" s="121" t="s">
        <v>105</v>
      </c>
      <c r="Q79" s="121" t="s">
        <v>344</v>
      </c>
      <c r="R79" s="124">
        <v>45474</v>
      </c>
      <c r="S79" s="124">
        <v>45614</v>
      </c>
      <c r="T79" s="124">
        <v>45614</v>
      </c>
      <c r="U79" s="121"/>
      <c r="V79" s="121" t="s">
        <v>43</v>
      </c>
      <c r="W79" s="121"/>
      <c r="X79" s="121"/>
      <c r="AA79" s="118" t="s">
        <v>45</v>
      </c>
      <c r="AB79" s="118" t="s">
        <v>74</v>
      </c>
    </row>
    <row r="80" spans="1:29" ht="30" hidden="1" x14ac:dyDescent="0.25">
      <c r="A80" s="142" t="s">
        <v>568</v>
      </c>
      <c r="B80" s="121" t="s">
        <v>569</v>
      </c>
      <c r="C80" s="121"/>
      <c r="D80" s="121" t="s">
        <v>569</v>
      </c>
      <c r="E80" s="121"/>
      <c r="F80" s="121" t="s">
        <v>570</v>
      </c>
      <c r="G80" s="121" t="s">
        <v>53</v>
      </c>
      <c r="H80" s="121"/>
      <c r="I80" s="121" t="s">
        <v>103</v>
      </c>
      <c r="J80" s="121" t="s">
        <v>55</v>
      </c>
      <c r="K80" s="121" t="s">
        <v>56</v>
      </c>
      <c r="L80" s="121"/>
      <c r="M80" s="121"/>
      <c r="N80" s="121" t="s">
        <v>39</v>
      </c>
      <c r="O80" s="121" t="s">
        <v>40</v>
      </c>
      <c r="P80" s="121" t="s">
        <v>105</v>
      </c>
      <c r="Q80" s="121" t="s">
        <v>42</v>
      </c>
      <c r="R80" s="124">
        <v>45474</v>
      </c>
      <c r="S80" s="124">
        <v>45604</v>
      </c>
      <c r="T80" s="124">
        <v>45596</v>
      </c>
      <c r="U80" s="121"/>
      <c r="V80" s="121" t="s">
        <v>43</v>
      </c>
      <c r="W80" s="121" t="s">
        <v>571</v>
      </c>
      <c r="X80" s="121" t="s">
        <v>572</v>
      </c>
      <c r="Y80" s="120">
        <v>45569</v>
      </c>
      <c r="AA80" s="118" t="s">
        <v>45</v>
      </c>
      <c r="AB80" s="118" t="s">
        <v>74</v>
      </c>
    </row>
    <row r="81" spans="1:29" ht="30" hidden="1" x14ac:dyDescent="0.25">
      <c r="A81" s="142" t="s">
        <v>573</v>
      </c>
      <c r="B81" s="121" t="s">
        <v>574</v>
      </c>
      <c r="C81" s="121"/>
      <c r="D81" s="121" t="s">
        <v>575</v>
      </c>
      <c r="E81" s="121"/>
      <c r="F81" s="121" t="s">
        <v>576</v>
      </c>
      <c r="G81" s="121" t="s">
        <v>53</v>
      </c>
      <c r="H81" s="121" t="s">
        <v>52</v>
      </c>
      <c r="I81" s="121" t="s">
        <v>82</v>
      </c>
      <c r="J81" s="121" t="s">
        <v>55</v>
      </c>
      <c r="K81" s="121" t="s">
        <v>56</v>
      </c>
      <c r="L81" s="121"/>
      <c r="M81" s="121"/>
      <c r="N81" s="121" t="s">
        <v>39</v>
      </c>
      <c r="O81" s="121" t="s">
        <v>40</v>
      </c>
      <c r="P81" s="121" t="s">
        <v>41</v>
      </c>
      <c r="Q81" s="121" t="s">
        <v>42</v>
      </c>
      <c r="R81" s="124">
        <v>45474</v>
      </c>
      <c r="S81" s="124">
        <v>45597</v>
      </c>
      <c r="T81" s="124">
        <v>45597</v>
      </c>
      <c r="U81" s="121"/>
      <c r="V81" s="121" t="s">
        <v>84</v>
      </c>
      <c r="W81" s="121" t="s">
        <v>577</v>
      </c>
      <c r="X81" s="121"/>
      <c r="Y81" s="120">
        <v>45601</v>
      </c>
      <c r="AA81" s="118" t="s">
        <v>45</v>
      </c>
      <c r="AB81" s="118" t="s">
        <v>74</v>
      </c>
    </row>
    <row r="82" spans="1:29" ht="30" hidden="1" x14ac:dyDescent="0.25">
      <c r="A82" s="142" t="s">
        <v>578</v>
      </c>
      <c r="B82" s="121" t="s">
        <v>579</v>
      </c>
      <c r="C82" s="121"/>
      <c r="D82" s="121" t="s">
        <v>579</v>
      </c>
      <c r="E82" s="121"/>
      <c r="F82" s="121" t="s">
        <v>576</v>
      </c>
      <c r="G82" s="121"/>
      <c r="H82" s="121"/>
      <c r="I82" s="121" t="s">
        <v>82</v>
      </c>
      <c r="J82" s="121" t="s">
        <v>55</v>
      </c>
      <c r="K82" s="121" t="s">
        <v>56</v>
      </c>
      <c r="L82" s="121"/>
      <c r="M82" s="121"/>
      <c r="N82" s="121" t="s">
        <v>39</v>
      </c>
      <c r="O82" s="121"/>
      <c r="P82" s="121" t="s">
        <v>41</v>
      </c>
      <c r="Q82" s="121" t="s">
        <v>58</v>
      </c>
      <c r="R82" s="124">
        <v>45600</v>
      </c>
      <c r="S82" s="124">
        <v>45604</v>
      </c>
      <c r="T82" s="124">
        <v>45604</v>
      </c>
      <c r="U82" s="121"/>
      <c r="V82" s="121" t="s">
        <v>96</v>
      </c>
      <c r="W82" s="121"/>
      <c r="X82" s="121"/>
      <c r="AA82" s="118" t="s">
        <v>45</v>
      </c>
      <c r="AB82" s="118" t="s">
        <v>514</v>
      </c>
    </row>
    <row r="83" spans="1:29" ht="30" hidden="1" x14ac:dyDescent="0.25">
      <c r="A83" s="142" t="s">
        <v>580</v>
      </c>
      <c r="B83" s="121" t="s">
        <v>581</v>
      </c>
      <c r="C83" s="121" t="s">
        <v>582</v>
      </c>
      <c r="D83" s="121" t="s">
        <v>581</v>
      </c>
      <c r="E83" s="121"/>
      <c r="F83" s="121" t="s">
        <v>583</v>
      </c>
      <c r="G83" s="121" t="s">
        <v>349</v>
      </c>
      <c r="H83" s="121"/>
      <c r="I83" s="121" t="s">
        <v>584</v>
      </c>
      <c r="J83" s="121" t="s">
        <v>55</v>
      </c>
      <c r="K83" s="121" t="s">
        <v>56</v>
      </c>
      <c r="L83" s="121"/>
      <c r="M83" s="121"/>
      <c r="N83" s="121" t="s">
        <v>39</v>
      </c>
      <c r="O83" s="121"/>
      <c r="P83" s="121" t="s">
        <v>57</v>
      </c>
      <c r="Q83" s="121" t="s">
        <v>58</v>
      </c>
      <c r="R83" s="124">
        <v>45628</v>
      </c>
      <c r="S83" s="124">
        <v>45636</v>
      </c>
      <c r="T83" s="124">
        <v>45628</v>
      </c>
      <c r="U83" s="121"/>
      <c r="V83" s="121" t="s">
        <v>43</v>
      </c>
      <c r="W83" s="121" t="s">
        <v>585</v>
      </c>
      <c r="X83" s="121"/>
      <c r="Y83" s="120">
        <v>45625</v>
      </c>
      <c r="AA83" s="118" t="s">
        <v>45</v>
      </c>
      <c r="AB83" s="118" t="s">
        <v>62</v>
      </c>
    </row>
    <row r="84" spans="1:29" ht="45" hidden="1" x14ac:dyDescent="0.25">
      <c r="A84" s="142" t="s">
        <v>586</v>
      </c>
      <c r="B84" s="121" t="s">
        <v>587</v>
      </c>
      <c r="C84" s="121"/>
      <c r="D84" s="121" t="s">
        <v>588</v>
      </c>
      <c r="E84" s="121"/>
      <c r="F84" s="121" t="s">
        <v>101</v>
      </c>
      <c r="G84" s="121" t="s">
        <v>53</v>
      </c>
      <c r="H84" s="121" t="s">
        <v>589</v>
      </c>
      <c r="I84" s="121" t="s">
        <v>103</v>
      </c>
      <c r="J84" s="121" t="s">
        <v>55</v>
      </c>
      <c r="K84" s="121" t="s">
        <v>56</v>
      </c>
      <c r="L84" s="121"/>
      <c r="M84" s="121"/>
      <c r="N84" s="121" t="s">
        <v>39</v>
      </c>
      <c r="O84" s="121"/>
      <c r="P84" s="121" t="s">
        <v>41</v>
      </c>
      <c r="Q84" s="121" t="s">
        <v>57</v>
      </c>
      <c r="R84" s="124">
        <v>45586</v>
      </c>
      <c r="S84" s="124">
        <v>45602</v>
      </c>
      <c r="T84" s="124">
        <v>45596</v>
      </c>
      <c r="U84" s="121"/>
      <c r="V84" s="121" t="s">
        <v>43</v>
      </c>
      <c r="W84" s="121" t="s">
        <v>590</v>
      </c>
      <c r="X84" s="121"/>
      <c r="AA84" s="118" t="s">
        <v>45</v>
      </c>
      <c r="AB84" s="118" t="s">
        <v>74</v>
      </c>
    </row>
    <row r="85" spans="1:29" ht="60" hidden="1" x14ac:dyDescent="0.25">
      <c r="A85" s="142">
        <v>116</v>
      </c>
      <c r="B85" s="121" t="s">
        <v>591</v>
      </c>
      <c r="C85" s="121"/>
      <c r="D85" s="121" t="s">
        <v>592</v>
      </c>
      <c r="E85" s="121" t="s">
        <v>593</v>
      </c>
      <c r="F85" s="121" t="s">
        <v>594</v>
      </c>
      <c r="G85" s="121" t="s">
        <v>264</v>
      </c>
      <c r="H85" s="121" t="s">
        <v>595</v>
      </c>
      <c r="I85" s="121" t="s">
        <v>35</v>
      </c>
      <c r="J85" s="121" t="s">
        <v>144</v>
      </c>
      <c r="K85" s="121" t="s">
        <v>56</v>
      </c>
      <c r="L85" s="121"/>
      <c r="M85" s="121"/>
      <c r="N85" s="121" t="s">
        <v>39</v>
      </c>
      <c r="O85" s="121"/>
      <c r="P85" s="121" t="s">
        <v>57</v>
      </c>
      <c r="Q85" s="121" t="s">
        <v>58</v>
      </c>
      <c r="R85" s="124">
        <v>45628</v>
      </c>
      <c r="S85" s="124">
        <v>45663</v>
      </c>
      <c r="T85" s="124">
        <v>45666</v>
      </c>
      <c r="U85" s="121"/>
      <c r="V85" s="121" t="s">
        <v>43</v>
      </c>
      <c r="W85" s="121" t="s">
        <v>596</v>
      </c>
      <c r="X85" s="121" t="s">
        <v>597</v>
      </c>
      <c r="Y85" s="120">
        <v>45639</v>
      </c>
      <c r="Z85" s="120">
        <v>45660</v>
      </c>
      <c r="AA85" s="118" t="s">
        <v>45</v>
      </c>
      <c r="AB85" s="118" t="s">
        <v>74</v>
      </c>
    </row>
    <row r="86" spans="1:29" ht="45" hidden="1" x14ac:dyDescent="0.25">
      <c r="A86" s="142">
        <v>120</v>
      </c>
      <c r="B86" s="121" t="s">
        <v>598</v>
      </c>
      <c r="C86" s="121"/>
      <c r="D86" s="121" t="s">
        <v>599</v>
      </c>
      <c r="E86" s="121"/>
      <c r="F86" s="121" t="s">
        <v>119</v>
      </c>
      <c r="G86" s="121" t="s">
        <v>282</v>
      </c>
      <c r="H86" s="121"/>
      <c r="I86" s="121" t="s">
        <v>185</v>
      </c>
      <c r="J86" s="121" t="s">
        <v>200</v>
      </c>
      <c r="K86" s="121" t="s">
        <v>83</v>
      </c>
      <c r="L86" s="121"/>
      <c r="M86" s="121"/>
      <c r="N86" s="121" t="s">
        <v>39</v>
      </c>
      <c r="O86" s="121"/>
      <c r="P86" s="121" t="s">
        <v>57</v>
      </c>
      <c r="Q86" s="121" t="s">
        <v>57</v>
      </c>
      <c r="R86" s="124">
        <v>45551</v>
      </c>
      <c r="S86" s="124"/>
      <c r="T86" s="124">
        <v>45930</v>
      </c>
      <c r="U86" s="121"/>
      <c r="V86" s="121" t="s">
        <v>59</v>
      </c>
      <c r="W86" s="121"/>
      <c r="X86" s="121" t="s">
        <v>600</v>
      </c>
      <c r="AA86" s="118" t="s">
        <v>288</v>
      </c>
      <c r="AB86" s="118" t="s">
        <v>74</v>
      </c>
    </row>
    <row r="87" spans="1:29" ht="105" hidden="1" x14ac:dyDescent="0.25">
      <c r="A87" s="142">
        <v>118</v>
      </c>
      <c r="B87" s="121" t="s">
        <v>601</v>
      </c>
      <c r="C87" s="121"/>
      <c r="D87" s="121" t="s">
        <v>602</v>
      </c>
      <c r="E87" s="121" t="s">
        <v>603</v>
      </c>
      <c r="F87" s="121" t="s">
        <v>604</v>
      </c>
      <c r="G87" s="121" t="s">
        <v>67</v>
      </c>
      <c r="H87" s="121" t="s">
        <v>448</v>
      </c>
      <c r="I87" s="121" t="s">
        <v>54</v>
      </c>
      <c r="J87" s="121" t="s">
        <v>284</v>
      </c>
      <c r="K87" s="121" t="s">
        <v>83</v>
      </c>
      <c r="L87" s="121" t="s">
        <v>224</v>
      </c>
      <c r="M87" s="121"/>
      <c r="N87" s="121" t="s">
        <v>39</v>
      </c>
      <c r="O87" s="121" t="s">
        <v>39</v>
      </c>
      <c r="P87" s="121" t="s">
        <v>57</v>
      </c>
      <c r="Q87" s="121" t="s">
        <v>301</v>
      </c>
      <c r="R87" s="124">
        <v>45468</v>
      </c>
      <c r="S87" s="124">
        <v>45618</v>
      </c>
      <c r="T87" s="124">
        <v>45625</v>
      </c>
      <c r="U87" s="121"/>
      <c r="V87" s="121" t="s">
        <v>96</v>
      </c>
      <c r="W87" s="121" t="s">
        <v>605</v>
      </c>
      <c r="X87" s="121" t="s">
        <v>606</v>
      </c>
      <c r="Y87" s="120">
        <v>45618</v>
      </c>
      <c r="AA87" s="118" t="s">
        <v>45</v>
      </c>
      <c r="AB87" s="118" t="s">
        <v>74</v>
      </c>
      <c r="AC87" s="122">
        <v>0.8</v>
      </c>
    </row>
    <row r="88" spans="1:29" ht="90" hidden="1" x14ac:dyDescent="0.25">
      <c r="A88" s="142">
        <v>119</v>
      </c>
      <c r="B88" s="121" t="s">
        <v>607</v>
      </c>
      <c r="C88" s="121"/>
      <c r="D88" s="121" t="s">
        <v>608</v>
      </c>
      <c r="E88" s="121" t="s">
        <v>609</v>
      </c>
      <c r="F88" s="121" t="s">
        <v>604</v>
      </c>
      <c r="G88" s="121"/>
      <c r="H88" s="121"/>
      <c r="I88" s="121" t="s">
        <v>54</v>
      </c>
      <c r="J88" s="121" t="s">
        <v>284</v>
      </c>
      <c r="K88" s="121" t="s">
        <v>83</v>
      </c>
      <c r="L88" s="121" t="s">
        <v>224</v>
      </c>
      <c r="M88" s="121"/>
      <c r="N88" s="121" t="s">
        <v>39</v>
      </c>
      <c r="O88" s="121" t="s">
        <v>39</v>
      </c>
      <c r="P88" s="121" t="s">
        <v>57</v>
      </c>
      <c r="Q88" s="121" t="s">
        <v>57</v>
      </c>
      <c r="R88" s="124">
        <v>45317</v>
      </c>
      <c r="S88" s="124"/>
      <c r="T88" s="124">
        <v>45744</v>
      </c>
      <c r="U88" s="121"/>
      <c r="V88" s="121" t="s">
        <v>96</v>
      </c>
      <c r="W88" s="121" t="s">
        <v>610</v>
      </c>
      <c r="X88" s="121" t="s">
        <v>611</v>
      </c>
      <c r="Y88" s="120">
        <v>45639</v>
      </c>
      <c r="AA88" s="118" t="s">
        <v>288</v>
      </c>
      <c r="AB88" s="118" t="s">
        <v>74</v>
      </c>
    </row>
    <row r="89" spans="1:29" ht="79.5" hidden="1" customHeight="1" x14ac:dyDescent="0.25">
      <c r="A89" s="142">
        <v>121</v>
      </c>
      <c r="B89" s="121" t="s">
        <v>612</v>
      </c>
      <c r="C89" s="121"/>
      <c r="D89" s="121" t="s">
        <v>613</v>
      </c>
      <c r="E89" s="121" t="s">
        <v>614</v>
      </c>
      <c r="F89" s="121" t="s">
        <v>615</v>
      </c>
      <c r="G89" s="121" t="s">
        <v>563</v>
      </c>
      <c r="H89" s="121"/>
      <c r="I89" s="121" t="s">
        <v>551</v>
      </c>
      <c r="J89" s="121" t="s">
        <v>55</v>
      </c>
      <c r="K89" s="121" t="s">
        <v>56</v>
      </c>
      <c r="L89" s="121"/>
      <c r="M89" s="121"/>
      <c r="N89" s="121" t="s">
        <v>39</v>
      </c>
      <c r="O89" s="121"/>
      <c r="P89" s="121" t="s">
        <v>41</v>
      </c>
      <c r="Q89" s="121" t="s">
        <v>58</v>
      </c>
      <c r="R89" s="124">
        <v>45527</v>
      </c>
      <c r="S89" s="124">
        <v>45544</v>
      </c>
      <c r="T89" s="124">
        <v>45544</v>
      </c>
      <c r="U89" s="121"/>
      <c r="V89" s="121" t="s">
        <v>43</v>
      </c>
      <c r="W89" s="121"/>
      <c r="X89" s="121"/>
      <c r="AA89" s="118" t="s">
        <v>45</v>
      </c>
      <c r="AB89" s="118" t="s">
        <v>74</v>
      </c>
    </row>
    <row r="90" spans="1:29" ht="30" hidden="1" x14ac:dyDescent="0.25">
      <c r="A90" s="142">
        <v>122</v>
      </c>
      <c r="B90" s="121" t="s">
        <v>616</v>
      </c>
      <c r="C90" s="121"/>
      <c r="D90" s="121" t="s">
        <v>617</v>
      </c>
      <c r="E90" s="121" t="s">
        <v>618</v>
      </c>
      <c r="F90" s="121" t="s">
        <v>619</v>
      </c>
      <c r="G90" s="121" t="s">
        <v>563</v>
      </c>
      <c r="H90" s="121"/>
      <c r="I90" s="121" t="s">
        <v>551</v>
      </c>
      <c r="J90" s="121" t="s">
        <v>55</v>
      </c>
      <c r="K90" s="121" t="s">
        <v>56</v>
      </c>
      <c r="L90" s="121"/>
      <c r="M90" s="121"/>
      <c r="N90" s="121" t="s">
        <v>39</v>
      </c>
      <c r="O90" s="121"/>
      <c r="P90" s="121" t="s">
        <v>41</v>
      </c>
      <c r="Q90" s="121" t="s">
        <v>58</v>
      </c>
      <c r="R90" s="124">
        <v>45561</v>
      </c>
      <c r="S90" s="124">
        <v>45574</v>
      </c>
      <c r="T90" s="124">
        <v>45574</v>
      </c>
      <c r="U90" s="121"/>
      <c r="V90" s="121" t="s">
        <v>43</v>
      </c>
      <c r="W90" s="121"/>
      <c r="X90" s="121"/>
      <c r="AA90" s="118" t="s">
        <v>45</v>
      </c>
      <c r="AB90" s="118" t="s">
        <v>74</v>
      </c>
    </row>
    <row r="91" spans="1:29" ht="256.5" hidden="1" customHeight="1" x14ac:dyDescent="0.25">
      <c r="A91" s="142" t="s">
        <v>620</v>
      </c>
      <c r="B91" s="121" t="s">
        <v>621</v>
      </c>
      <c r="C91" s="121"/>
      <c r="D91" s="121" t="s">
        <v>622</v>
      </c>
      <c r="E91" s="121" t="s">
        <v>623</v>
      </c>
      <c r="F91" s="121" t="s">
        <v>624</v>
      </c>
      <c r="G91" s="121" t="s">
        <v>563</v>
      </c>
      <c r="H91" s="121"/>
      <c r="I91" s="121" t="s">
        <v>54</v>
      </c>
      <c r="J91" s="121" t="s">
        <v>55</v>
      </c>
      <c r="K91" s="121" t="s">
        <v>56</v>
      </c>
      <c r="L91" s="121"/>
      <c r="M91" s="121"/>
      <c r="N91" s="121" t="s">
        <v>39</v>
      </c>
      <c r="O91" s="121"/>
      <c r="P91" s="121" t="s">
        <v>41</v>
      </c>
      <c r="Q91" s="121" t="s">
        <v>57</v>
      </c>
      <c r="R91" s="124">
        <v>45565</v>
      </c>
      <c r="S91" s="124">
        <v>45574</v>
      </c>
      <c r="T91" s="124">
        <v>45574</v>
      </c>
      <c r="U91" s="121"/>
      <c r="V91" s="121" t="s">
        <v>84</v>
      </c>
      <c r="W91" s="121"/>
      <c r="X91" s="121"/>
      <c r="Y91" s="120">
        <v>45569</v>
      </c>
      <c r="AA91" s="118" t="s">
        <v>45</v>
      </c>
      <c r="AB91" s="118" t="s">
        <v>74</v>
      </c>
    </row>
    <row r="92" spans="1:29" ht="60" hidden="1" x14ac:dyDescent="0.25">
      <c r="A92" s="142" t="s">
        <v>625</v>
      </c>
      <c r="B92" s="121" t="s">
        <v>626</v>
      </c>
      <c r="C92" s="121" t="s">
        <v>627</v>
      </c>
      <c r="D92" s="121" t="s">
        <v>628</v>
      </c>
      <c r="E92" s="121" t="s">
        <v>629</v>
      </c>
      <c r="F92" s="121" t="s">
        <v>518</v>
      </c>
      <c r="G92" s="121" t="s">
        <v>53</v>
      </c>
      <c r="H92" s="121" t="s">
        <v>52</v>
      </c>
      <c r="I92" s="121" t="s">
        <v>54</v>
      </c>
      <c r="J92" s="121" t="s">
        <v>144</v>
      </c>
      <c r="K92" s="121" t="s">
        <v>56</v>
      </c>
      <c r="L92" s="121"/>
      <c r="M92" s="121"/>
      <c r="N92" s="121" t="s">
        <v>39</v>
      </c>
      <c r="O92" s="121" t="s">
        <v>40</v>
      </c>
      <c r="P92" s="121" t="s">
        <v>41</v>
      </c>
      <c r="Q92" s="121" t="s">
        <v>58</v>
      </c>
      <c r="R92" s="124">
        <v>45618</v>
      </c>
      <c r="S92" s="124">
        <v>45674</v>
      </c>
      <c r="T92" s="124">
        <v>45674</v>
      </c>
      <c r="U92" s="121"/>
      <c r="V92" s="121" t="s">
        <v>43</v>
      </c>
      <c r="W92" s="121" t="s">
        <v>630</v>
      </c>
      <c r="X92" s="121" t="s">
        <v>631</v>
      </c>
      <c r="Y92" s="120">
        <v>45639</v>
      </c>
      <c r="Z92" s="120">
        <v>45660</v>
      </c>
      <c r="AA92" s="118" t="s">
        <v>45</v>
      </c>
      <c r="AB92" s="118" t="s">
        <v>74</v>
      </c>
    </row>
    <row r="93" spans="1:29" ht="105" hidden="1" x14ac:dyDescent="0.25">
      <c r="A93" s="142" t="s">
        <v>632</v>
      </c>
      <c r="B93" s="121" t="s">
        <v>633</v>
      </c>
      <c r="C93" s="121"/>
      <c r="D93" s="121" t="s">
        <v>634</v>
      </c>
      <c r="E93" s="121" t="s">
        <v>635</v>
      </c>
      <c r="F93" s="121" t="s">
        <v>91</v>
      </c>
      <c r="G93" s="121" t="s">
        <v>479</v>
      </c>
      <c r="H93" s="121" t="s">
        <v>636</v>
      </c>
      <c r="I93" s="121" t="s">
        <v>35</v>
      </c>
      <c r="J93" s="121" t="s">
        <v>144</v>
      </c>
      <c r="K93" s="121" t="s">
        <v>56</v>
      </c>
      <c r="L93" s="121"/>
      <c r="M93" s="121"/>
      <c r="N93" s="121" t="s">
        <v>39</v>
      </c>
      <c r="O93" s="121" t="s">
        <v>40</v>
      </c>
      <c r="P93" s="121" t="s">
        <v>41</v>
      </c>
      <c r="Q93" s="121" t="s">
        <v>42</v>
      </c>
      <c r="R93" s="124">
        <v>45659</v>
      </c>
      <c r="S93" s="124">
        <v>45751</v>
      </c>
      <c r="T93" s="124">
        <v>45751</v>
      </c>
      <c r="U93" s="121">
        <v>45737</v>
      </c>
      <c r="V93" s="121" t="s">
        <v>43</v>
      </c>
      <c r="W93" s="121" t="s">
        <v>637</v>
      </c>
      <c r="X93" s="121" t="s">
        <v>638</v>
      </c>
      <c r="Y93" s="120">
        <v>45744</v>
      </c>
      <c r="Z93" s="120">
        <v>45751</v>
      </c>
      <c r="AA93" s="118" t="s">
        <v>45</v>
      </c>
      <c r="AB93" s="118" t="s">
        <v>62</v>
      </c>
    </row>
    <row r="94" spans="1:29" ht="94.5" hidden="1" customHeight="1" x14ac:dyDescent="0.25">
      <c r="A94" s="142">
        <v>125</v>
      </c>
      <c r="B94" s="121" t="s">
        <v>639</v>
      </c>
      <c r="C94" s="121" t="s">
        <v>640</v>
      </c>
      <c r="D94" s="121" t="s">
        <v>641</v>
      </c>
      <c r="E94" s="121" t="s">
        <v>642</v>
      </c>
      <c r="F94" s="121" t="s">
        <v>643</v>
      </c>
      <c r="G94" s="121" t="s">
        <v>53</v>
      </c>
      <c r="H94" s="121" t="s">
        <v>52</v>
      </c>
      <c r="I94" s="121" t="s">
        <v>536</v>
      </c>
      <c r="J94" s="121" t="s">
        <v>70</v>
      </c>
      <c r="K94" s="121" t="s">
        <v>83</v>
      </c>
      <c r="L94" s="121"/>
      <c r="M94" s="121"/>
      <c r="N94" s="121" t="s">
        <v>39</v>
      </c>
      <c r="O94" s="121" t="s">
        <v>40</v>
      </c>
      <c r="P94" s="121" t="s">
        <v>105</v>
      </c>
      <c r="Q94" s="121" t="s">
        <v>57</v>
      </c>
      <c r="R94" s="124">
        <v>45580</v>
      </c>
      <c r="S94" s="124">
        <v>45639</v>
      </c>
      <c r="T94" s="124">
        <v>45744</v>
      </c>
      <c r="U94" s="121"/>
      <c r="V94" s="121" t="s">
        <v>96</v>
      </c>
      <c r="W94" s="121" t="s">
        <v>644</v>
      </c>
      <c r="X94" s="121"/>
      <c r="Y94" s="120">
        <v>45674</v>
      </c>
      <c r="Z94" s="120">
        <v>45667</v>
      </c>
      <c r="AA94" s="118" t="s">
        <v>45</v>
      </c>
      <c r="AB94" s="118" t="s">
        <v>74</v>
      </c>
    </row>
    <row r="95" spans="1:29" ht="87" hidden="1" customHeight="1" x14ac:dyDescent="0.25">
      <c r="A95" s="142">
        <v>126</v>
      </c>
      <c r="B95" s="121" t="s">
        <v>645</v>
      </c>
      <c r="C95" s="121"/>
      <c r="D95" s="121" t="s">
        <v>646</v>
      </c>
      <c r="E95" s="121"/>
      <c r="F95" s="121" t="s">
        <v>647</v>
      </c>
      <c r="G95" s="121" t="s">
        <v>265</v>
      </c>
      <c r="H95" s="121" t="s">
        <v>648</v>
      </c>
      <c r="I95" s="121" t="s">
        <v>35</v>
      </c>
      <c r="J95" s="121" t="s">
        <v>144</v>
      </c>
      <c r="K95" s="121" t="s">
        <v>83</v>
      </c>
      <c r="L95" s="121"/>
      <c r="M95" s="121"/>
      <c r="N95" s="121" t="s">
        <v>39</v>
      </c>
      <c r="O95" s="121" t="s">
        <v>40</v>
      </c>
      <c r="P95" s="121" t="s">
        <v>105</v>
      </c>
      <c r="Q95" s="121" t="s">
        <v>57</v>
      </c>
      <c r="R95" s="124">
        <v>45600</v>
      </c>
      <c r="S95" s="124">
        <v>45723</v>
      </c>
      <c r="T95" s="124">
        <v>45747</v>
      </c>
      <c r="U95" s="121"/>
      <c r="V95" s="121" t="s">
        <v>96</v>
      </c>
      <c r="W95" s="121" t="s">
        <v>649</v>
      </c>
      <c r="X95" s="121" t="s">
        <v>650</v>
      </c>
      <c r="Y95" s="120">
        <v>45716</v>
      </c>
      <c r="Z95" s="120">
        <v>45730</v>
      </c>
      <c r="AA95" s="118" t="s">
        <v>45</v>
      </c>
      <c r="AB95" s="118" t="s">
        <v>74</v>
      </c>
    </row>
    <row r="96" spans="1:29" ht="30" hidden="1" customHeight="1" x14ac:dyDescent="0.25">
      <c r="A96" s="142">
        <v>127</v>
      </c>
      <c r="B96" s="121" t="s">
        <v>651</v>
      </c>
      <c r="C96" s="121"/>
      <c r="D96" s="121" t="s">
        <v>652</v>
      </c>
      <c r="E96" s="121" t="s">
        <v>653</v>
      </c>
      <c r="F96" s="121" t="s">
        <v>209</v>
      </c>
      <c r="G96" s="121" t="s">
        <v>231</v>
      </c>
      <c r="H96" s="121" t="s">
        <v>654</v>
      </c>
      <c r="I96" s="121" t="s">
        <v>137</v>
      </c>
      <c r="J96" s="121" t="s">
        <v>138</v>
      </c>
      <c r="K96" s="121" t="s">
        <v>56</v>
      </c>
      <c r="L96" s="121"/>
      <c r="M96" s="121"/>
      <c r="N96" s="121" t="s">
        <v>39</v>
      </c>
      <c r="O96" s="121" t="s">
        <v>40</v>
      </c>
      <c r="P96" s="121" t="s">
        <v>105</v>
      </c>
      <c r="Q96" s="121" t="s">
        <v>58</v>
      </c>
      <c r="R96" s="124">
        <v>45614</v>
      </c>
      <c r="S96" s="124">
        <v>45666</v>
      </c>
      <c r="T96" s="124">
        <v>45639</v>
      </c>
      <c r="U96" s="121"/>
      <c r="V96" s="121" t="s">
        <v>43</v>
      </c>
      <c r="W96" s="121" t="s">
        <v>655</v>
      </c>
      <c r="X96" s="121" t="s">
        <v>656</v>
      </c>
      <c r="Y96" s="120">
        <v>45625</v>
      </c>
      <c r="AA96" s="118" t="s">
        <v>45</v>
      </c>
      <c r="AB96" s="118" t="s">
        <v>657</v>
      </c>
    </row>
    <row r="97" spans="1:28" ht="33.75" hidden="1" customHeight="1" x14ac:dyDescent="0.25">
      <c r="A97" s="142">
        <v>128</v>
      </c>
      <c r="B97" s="121" t="s">
        <v>658</v>
      </c>
      <c r="C97" s="121"/>
      <c r="D97" s="121" t="s">
        <v>659</v>
      </c>
      <c r="E97" s="121" t="s">
        <v>659</v>
      </c>
      <c r="F97" s="121" t="s">
        <v>435</v>
      </c>
      <c r="G97" s="121" t="s">
        <v>264</v>
      </c>
      <c r="H97" s="121" t="s">
        <v>660</v>
      </c>
      <c r="I97" s="121" t="s">
        <v>35</v>
      </c>
      <c r="J97" s="121" t="s">
        <v>144</v>
      </c>
      <c r="K97" s="121" t="s">
        <v>56</v>
      </c>
      <c r="L97" s="121"/>
      <c r="M97" s="121"/>
      <c r="N97" s="121" t="s">
        <v>39</v>
      </c>
      <c r="O97" s="121" t="s">
        <v>40</v>
      </c>
      <c r="P97" s="121" t="s">
        <v>105</v>
      </c>
      <c r="Q97" s="121" t="s">
        <v>58</v>
      </c>
      <c r="R97" s="124">
        <v>45588</v>
      </c>
      <c r="S97" s="124">
        <v>45644</v>
      </c>
      <c r="T97" s="124">
        <v>45646</v>
      </c>
      <c r="U97" s="121"/>
      <c r="V97" s="121" t="s">
        <v>43</v>
      </c>
      <c r="W97" s="121" t="s">
        <v>661</v>
      </c>
      <c r="X97" s="121"/>
      <c r="Y97" s="120">
        <v>45639</v>
      </c>
      <c r="AA97" s="118" t="s">
        <v>45</v>
      </c>
      <c r="AB97" s="118" t="s">
        <v>74</v>
      </c>
    </row>
    <row r="98" spans="1:28" ht="49.5" hidden="1" customHeight="1" x14ac:dyDescent="0.25">
      <c r="A98" s="142">
        <v>129</v>
      </c>
      <c r="B98" s="121" t="s">
        <v>662</v>
      </c>
      <c r="C98" s="121"/>
      <c r="D98" s="121" t="s">
        <v>663</v>
      </c>
      <c r="E98" s="121" t="s">
        <v>664</v>
      </c>
      <c r="F98" s="121" t="s">
        <v>665</v>
      </c>
      <c r="G98" s="121" t="s">
        <v>68</v>
      </c>
      <c r="H98" s="121" t="s">
        <v>666</v>
      </c>
      <c r="I98" s="121" t="s">
        <v>69</v>
      </c>
      <c r="J98" s="121" t="s">
        <v>70</v>
      </c>
      <c r="K98" s="121" t="s">
        <v>83</v>
      </c>
      <c r="L98" s="121"/>
      <c r="M98" s="121"/>
      <c r="N98" s="121" t="s">
        <v>39</v>
      </c>
      <c r="O98" s="121" t="s">
        <v>40</v>
      </c>
      <c r="P98" s="121" t="s">
        <v>105</v>
      </c>
      <c r="Q98" s="121" t="s">
        <v>57</v>
      </c>
      <c r="R98" s="124">
        <v>45600</v>
      </c>
      <c r="S98" s="124">
        <v>45631</v>
      </c>
      <c r="T98" s="124">
        <v>45631</v>
      </c>
      <c r="U98" s="121"/>
      <c r="V98" s="121" t="s">
        <v>96</v>
      </c>
      <c r="W98" s="121" t="s">
        <v>667</v>
      </c>
      <c r="X98" s="121"/>
      <c r="Y98" s="120">
        <v>45618</v>
      </c>
      <c r="AA98" s="118" t="s">
        <v>45</v>
      </c>
      <c r="AB98" s="118" t="s">
        <v>74</v>
      </c>
    </row>
    <row r="99" spans="1:28" ht="45" hidden="1" x14ac:dyDescent="0.25">
      <c r="A99" s="142" t="s">
        <v>668</v>
      </c>
      <c r="B99" s="121" t="s">
        <v>669</v>
      </c>
      <c r="C99" s="121"/>
      <c r="D99" s="121"/>
      <c r="E99" s="121"/>
      <c r="F99" s="121" t="s">
        <v>190</v>
      </c>
      <c r="G99" s="121" t="s">
        <v>349</v>
      </c>
      <c r="H99" s="121"/>
      <c r="I99" s="121" t="s">
        <v>584</v>
      </c>
      <c r="J99" s="121" t="s">
        <v>55</v>
      </c>
      <c r="K99" s="121" t="s">
        <v>56</v>
      </c>
      <c r="L99" s="121" t="s">
        <v>104</v>
      </c>
      <c r="M99" s="121"/>
      <c r="N99" s="121"/>
      <c r="O99" s="121"/>
      <c r="P99" s="121"/>
      <c r="Q99" s="121"/>
      <c r="R99" s="124">
        <v>46327</v>
      </c>
      <c r="S99" s="124"/>
      <c r="T99" s="124"/>
      <c r="U99" s="121"/>
      <c r="V99" s="121" t="s">
        <v>84</v>
      </c>
      <c r="W99" s="121"/>
      <c r="X99" s="121" t="s">
        <v>670</v>
      </c>
      <c r="Z99" s="120">
        <v>46325</v>
      </c>
      <c r="AA99" s="118" t="s">
        <v>671</v>
      </c>
      <c r="AB99" s="118" t="s">
        <v>74</v>
      </c>
    </row>
    <row r="100" spans="1:28" ht="103.5" hidden="1" customHeight="1" x14ac:dyDescent="0.25">
      <c r="A100" s="142" t="s">
        <v>672</v>
      </c>
      <c r="B100" s="121" t="s">
        <v>673</v>
      </c>
      <c r="C100" s="121"/>
      <c r="D100" s="121"/>
      <c r="E100" s="121"/>
      <c r="F100" s="121" t="s">
        <v>190</v>
      </c>
      <c r="G100" s="121" t="s">
        <v>349</v>
      </c>
      <c r="H100" s="121"/>
      <c r="I100" s="121" t="s">
        <v>584</v>
      </c>
      <c r="J100" s="121" t="s">
        <v>55</v>
      </c>
      <c r="K100" s="121" t="s">
        <v>56</v>
      </c>
      <c r="L100" s="121" t="s">
        <v>104</v>
      </c>
      <c r="M100" s="121"/>
      <c r="N100" s="121"/>
      <c r="O100" s="121"/>
      <c r="P100" s="121"/>
      <c r="Q100" s="121"/>
      <c r="R100" s="124">
        <v>46327</v>
      </c>
      <c r="S100" s="124"/>
      <c r="T100" s="124"/>
      <c r="U100" s="121"/>
      <c r="V100" s="121" t="s">
        <v>84</v>
      </c>
      <c r="W100" s="121"/>
      <c r="X100" s="121" t="s">
        <v>670</v>
      </c>
      <c r="Y100" s="120">
        <v>46101</v>
      </c>
      <c r="Z100" s="120">
        <v>46325</v>
      </c>
      <c r="AA100" s="118" t="s">
        <v>671</v>
      </c>
      <c r="AB100" s="118" t="s">
        <v>74</v>
      </c>
    </row>
    <row r="101" spans="1:28" ht="120" hidden="1" x14ac:dyDescent="0.25">
      <c r="A101" s="142" t="s">
        <v>674</v>
      </c>
      <c r="B101" s="121" t="s">
        <v>675</v>
      </c>
      <c r="C101" s="121"/>
      <c r="D101" s="121" t="s">
        <v>676</v>
      </c>
      <c r="E101" s="121" t="s">
        <v>677</v>
      </c>
      <c r="F101" s="121" t="s">
        <v>678</v>
      </c>
      <c r="G101" s="121" t="s">
        <v>679</v>
      </c>
      <c r="H101" s="121" t="s">
        <v>680</v>
      </c>
      <c r="I101" s="121" t="s">
        <v>69</v>
      </c>
      <c r="J101" s="121" t="s">
        <v>284</v>
      </c>
      <c r="K101" s="121" t="s">
        <v>83</v>
      </c>
      <c r="L101" s="121"/>
      <c r="M101" s="121"/>
      <c r="N101" s="121" t="s">
        <v>39</v>
      </c>
      <c r="O101" s="121" t="s">
        <v>39</v>
      </c>
      <c r="P101" s="121" t="s">
        <v>41</v>
      </c>
      <c r="Q101" s="121" t="s">
        <v>57</v>
      </c>
      <c r="R101" s="124">
        <v>45611</v>
      </c>
      <c r="S101" s="124">
        <v>45695</v>
      </c>
      <c r="T101" s="124">
        <v>45695</v>
      </c>
      <c r="U101" s="121"/>
      <c r="V101" s="121" t="s">
        <v>43</v>
      </c>
      <c r="W101" s="121" t="s">
        <v>681</v>
      </c>
      <c r="X101" s="121" t="s">
        <v>682</v>
      </c>
      <c r="Y101" s="120">
        <v>45702</v>
      </c>
      <c r="Z101" s="120">
        <v>45709</v>
      </c>
      <c r="AA101" s="118" t="s">
        <v>45</v>
      </c>
      <c r="AB101" s="118" t="s">
        <v>62</v>
      </c>
    </row>
    <row r="102" spans="1:28" ht="75" hidden="1" x14ac:dyDescent="0.25">
      <c r="A102" s="142" t="s">
        <v>683</v>
      </c>
      <c r="B102" s="121" t="s">
        <v>626</v>
      </c>
      <c r="C102" s="121" t="s">
        <v>684</v>
      </c>
      <c r="D102" s="121" t="s">
        <v>628</v>
      </c>
      <c r="E102" s="121" t="s">
        <v>629</v>
      </c>
      <c r="F102" s="121" t="s">
        <v>518</v>
      </c>
      <c r="G102" s="121" t="s">
        <v>53</v>
      </c>
      <c r="H102" s="121" t="s">
        <v>52</v>
      </c>
      <c r="I102" s="121" t="s">
        <v>54</v>
      </c>
      <c r="J102" s="121" t="s">
        <v>144</v>
      </c>
      <c r="K102" s="121" t="s">
        <v>56</v>
      </c>
      <c r="L102" s="121"/>
      <c r="M102" s="121"/>
      <c r="N102" s="121" t="s">
        <v>39</v>
      </c>
      <c r="O102" s="121" t="s">
        <v>40</v>
      </c>
      <c r="P102" s="121" t="s">
        <v>41</v>
      </c>
      <c r="Q102" s="121" t="s">
        <v>58</v>
      </c>
      <c r="R102" s="124">
        <v>45717</v>
      </c>
      <c r="S102" s="124">
        <v>45737</v>
      </c>
      <c r="T102" s="124">
        <v>45740</v>
      </c>
      <c r="U102" s="121"/>
      <c r="V102" s="121" t="s">
        <v>43</v>
      </c>
      <c r="W102" s="121" t="s">
        <v>685</v>
      </c>
      <c r="X102" s="121" t="s">
        <v>686</v>
      </c>
      <c r="Y102" s="120">
        <v>45716</v>
      </c>
      <c r="Z102" s="120">
        <v>45737</v>
      </c>
      <c r="AA102" s="118" t="s">
        <v>45</v>
      </c>
      <c r="AB102" s="118" t="s">
        <v>74</v>
      </c>
    </row>
    <row r="103" spans="1:28" ht="225" hidden="1" x14ac:dyDescent="0.25">
      <c r="A103" s="142" t="s">
        <v>687</v>
      </c>
      <c r="B103" s="121" t="s">
        <v>382</v>
      </c>
      <c r="C103" s="121" t="s">
        <v>688</v>
      </c>
      <c r="D103" s="121" t="s">
        <v>689</v>
      </c>
      <c r="E103" s="121" t="s">
        <v>690</v>
      </c>
      <c r="F103" s="121" t="s">
        <v>691</v>
      </c>
      <c r="G103" s="121" t="s">
        <v>53</v>
      </c>
      <c r="H103" s="121" t="s">
        <v>692</v>
      </c>
      <c r="I103" s="121" t="s">
        <v>82</v>
      </c>
      <c r="J103" s="121" t="s">
        <v>70</v>
      </c>
      <c r="K103" s="121" t="s">
        <v>83</v>
      </c>
      <c r="L103" s="121"/>
      <c r="M103" s="121"/>
      <c r="N103" s="121" t="s">
        <v>39</v>
      </c>
      <c r="O103" s="121" t="s">
        <v>40</v>
      </c>
      <c r="P103" s="121" t="s">
        <v>41</v>
      </c>
      <c r="Q103" s="121" t="s">
        <v>58</v>
      </c>
      <c r="R103" s="124">
        <v>45463</v>
      </c>
      <c r="S103" s="124">
        <v>45688</v>
      </c>
      <c r="T103" s="124">
        <v>45688</v>
      </c>
      <c r="U103" s="121">
        <v>45632</v>
      </c>
      <c r="V103" s="121" t="s">
        <v>59</v>
      </c>
      <c r="W103" s="121" t="s">
        <v>693</v>
      </c>
      <c r="X103" s="121"/>
      <c r="Y103" s="120">
        <v>45667</v>
      </c>
      <c r="Z103" s="120">
        <v>45667</v>
      </c>
      <c r="AA103" s="118" t="s">
        <v>45</v>
      </c>
      <c r="AB103" s="118" t="s">
        <v>62</v>
      </c>
    </row>
    <row r="104" spans="1:28" ht="150" hidden="1" x14ac:dyDescent="0.25">
      <c r="A104" s="142">
        <v>130</v>
      </c>
      <c r="B104" s="121" t="s">
        <v>694</v>
      </c>
      <c r="C104" s="121"/>
      <c r="D104" s="121" t="s">
        <v>695</v>
      </c>
      <c r="E104" s="121" t="s">
        <v>696</v>
      </c>
      <c r="F104" s="121" t="s">
        <v>697</v>
      </c>
      <c r="G104" s="121" t="s">
        <v>53</v>
      </c>
      <c r="H104" s="121" t="s">
        <v>52</v>
      </c>
      <c r="I104" s="121" t="s">
        <v>185</v>
      </c>
      <c r="J104" s="121" t="s">
        <v>70</v>
      </c>
      <c r="K104" s="121" t="s">
        <v>83</v>
      </c>
      <c r="L104" s="121" t="s">
        <v>113</v>
      </c>
      <c r="M104" s="121" t="s">
        <v>72</v>
      </c>
      <c r="N104" s="121"/>
      <c r="O104" s="121"/>
      <c r="P104" s="121"/>
      <c r="Q104" s="121" t="s">
        <v>57</v>
      </c>
      <c r="R104" s="124">
        <v>45782</v>
      </c>
      <c r="S104" s="124"/>
      <c r="T104" s="124">
        <v>46052</v>
      </c>
      <c r="U104" s="121"/>
      <c r="V104" s="121" t="s">
        <v>84</v>
      </c>
      <c r="W104" s="121" t="s">
        <v>698</v>
      </c>
      <c r="X104" s="121" t="s">
        <v>699</v>
      </c>
      <c r="Y104" s="120">
        <v>46031</v>
      </c>
      <c r="Z104" s="120">
        <v>46396</v>
      </c>
      <c r="AA104" s="118" t="s">
        <v>288</v>
      </c>
      <c r="AB104" s="118" t="s">
        <v>74</v>
      </c>
    </row>
    <row r="105" spans="1:28" ht="225" hidden="1" x14ac:dyDescent="0.25">
      <c r="A105" s="142">
        <v>132</v>
      </c>
      <c r="B105" s="121" t="s">
        <v>700</v>
      </c>
      <c r="C105" s="121"/>
      <c r="D105" s="121" t="s">
        <v>701</v>
      </c>
      <c r="E105" s="121" t="s">
        <v>702</v>
      </c>
      <c r="F105" s="121" t="s">
        <v>703</v>
      </c>
      <c r="G105" s="121" t="s">
        <v>704</v>
      </c>
      <c r="H105" s="121" t="s">
        <v>705</v>
      </c>
      <c r="I105" s="121" t="s">
        <v>69</v>
      </c>
      <c r="J105" s="121" t="s">
        <v>70</v>
      </c>
      <c r="K105" s="121" t="s">
        <v>83</v>
      </c>
      <c r="L105" s="121" t="s">
        <v>537</v>
      </c>
      <c r="M105" s="121" t="s">
        <v>72</v>
      </c>
      <c r="N105" s="121" t="s">
        <v>39</v>
      </c>
      <c r="O105" s="121" t="s">
        <v>40</v>
      </c>
      <c r="P105" s="121" t="s">
        <v>41</v>
      </c>
      <c r="Q105" s="121" t="s">
        <v>42</v>
      </c>
      <c r="R105" s="124">
        <v>45610</v>
      </c>
      <c r="S105" s="124">
        <v>46031</v>
      </c>
      <c r="T105" s="124">
        <v>46234</v>
      </c>
      <c r="U105" s="121"/>
      <c r="V105" s="121" t="s">
        <v>84</v>
      </c>
      <c r="W105" s="121" t="s">
        <v>706</v>
      </c>
      <c r="X105" s="121" t="s">
        <v>707</v>
      </c>
      <c r="Y105" s="120">
        <v>46031</v>
      </c>
      <c r="Z105" s="120">
        <v>46031</v>
      </c>
      <c r="AA105" s="118" t="s">
        <v>45</v>
      </c>
      <c r="AB105" s="118" t="s">
        <v>74</v>
      </c>
    </row>
    <row r="106" spans="1:28" ht="45" hidden="1" x14ac:dyDescent="0.25">
      <c r="A106" s="142" t="s">
        <v>708</v>
      </c>
      <c r="B106" s="121" t="s">
        <v>587</v>
      </c>
      <c r="C106" s="121"/>
      <c r="D106" s="121" t="s">
        <v>588</v>
      </c>
      <c r="E106" s="121"/>
      <c r="F106" s="121" t="s">
        <v>101</v>
      </c>
      <c r="G106" s="121" t="s">
        <v>143</v>
      </c>
      <c r="H106" s="121"/>
      <c r="I106" s="121" t="s">
        <v>103</v>
      </c>
      <c r="J106" s="121" t="s">
        <v>55</v>
      </c>
      <c r="K106" s="121" t="s">
        <v>56</v>
      </c>
      <c r="L106" s="121"/>
      <c r="M106" s="121"/>
      <c r="N106" s="121" t="s">
        <v>39</v>
      </c>
      <c r="O106" s="121"/>
      <c r="P106" s="121" t="s">
        <v>41</v>
      </c>
      <c r="Q106" s="121" t="s">
        <v>57</v>
      </c>
      <c r="R106" s="124">
        <v>46235</v>
      </c>
      <c r="S106" s="124"/>
      <c r="T106" s="124">
        <v>46326</v>
      </c>
      <c r="U106" s="121"/>
      <c r="V106" s="121"/>
      <c r="W106" s="121"/>
      <c r="X106" s="121"/>
      <c r="Z106" s="120">
        <v>46234</v>
      </c>
      <c r="AA106" s="118" t="s">
        <v>709</v>
      </c>
      <c r="AB106" s="118" t="s">
        <v>514</v>
      </c>
    </row>
    <row r="107" spans="1:28" ht="60" hidden="1" x14ac:dyDescent="0.25">
      <c r="A107" s="142" t="s">
        <v>710</v>
      </c>
      <c r="B107" s="121" t="s">
        <v>711</v>
      </c>
      <c r="C107" s="121" t="s">
        <v>712</v>
      </c>
      <c r="D107" s="121" t="s">
        <v>713</v>
      </c>
      <c r="E107" s="121" t="s">
        <v>714</v>
      </c>
      <c r="F107" s="121" t="s">
        <v>715</v>
      </c>
      <c r="G107" s="121" t="s">
        <v>716</v>
      </c>
      <c r="H107" s="121" t="s">
        <v>282</v>
      </c>
      <c r="I107" s="121" t="s">
        <v>69</v>
      </c>
      <c r="J107" s="121" t="s">
        <v>36</v>
      </c>
      <c r="K107" s="121" t="s">
        <v>37</v>
      </c>
      <c r="L107" s="121"/>
      <c r="M107" s="121" t="s">
        <v>717</v>
      </c>
      <c r="N107" s="121" t="s">
        <v>39</v>
      </c>
      <c r="O107" s="121" t="s">
        <v>40</v>
      </c>
      <c r="P107" s="121" t="s">
        <v>41</v>
      </c>
      <c r="Q107" s="121" t="s">
        <v>57</v>
      </c>
      <c r="R107" s="124">
        <v>45642</v>
      </c>
      <c r="S107" s="124">
        <v>45898</v>
      </c>
      <c r="T107" s="124"/>
      <c r="U107" s="121"/>
      <c r="V107" s="121" t="s">
        <v>43</v>
      </c>
      <c r="W107" s="121" t="s">
        <v>718</v>
      </c>
      <c r="X107" s="121" t="s">
        <v>719</v>
      </c>
      <c r="Y107" s="120">
        <v>45933</v>
      </c>
      <c r="Z107" s="120">
        <v>45968</v>
      </c>
      <c r="AA107" s="118" t="s">
        <v>45</v>
      </c>
    </row>
    <row r="108" spans="1:28" ht="30" hidden="1" x14ac:dyDescent="0.25">
      <c r="A108" s="142" t="s">
        <v>720</v>
      </c>
      <c r="B108" s="121" t="s">
        <v>621</v>
      </c>
      <c r="C108" s="121"/>
      <c r="D108" s="121" t="s">
        <v>622</v>
      </c>
      <c r="E108" s="121"/>
      <c r="F108" s="121" t="s">
        <v>624</v>
      </c>
      <c r="G108" s="121" t="s">
        <v>143</v>
      </c>
      <c r="H108" s="121"/>
      <c r="I108" s="121" t="s">
        <v>54</v>
      </c>
      <c r="J108" s="121" t="s">
        <v>55</v>
      </c>
      <c r="K108" s="121" t="s">
        <v>56</v>
      </c>
      <c r="L108" s="121"/>
      <c r="M108" s="121"/>
      <c r="N108" s="121" t="s">
        <v>39</v>
      </c>
      <c r="O108" s="121"/>
      <c r="P108" s="121" t="s">
        <v>41</v>
      </c>
      <c r="Q108" s="121" t="s">
        <v>57</v>
      </c>
      <c r="R108" s="124">
        <v>46235</v>
      </c>
      <c r="S108" s="124"/>
      <c r="T108" s="124">
        <v>46326</v>
      </c>
      <c r="U108" s="121"/>
      <c r="V108" s="121"/>
      <c r="W108" s="121"/>
      <c r="X108" s="121"/>
      <c r="Z108" s="120">
        <v>46234</v>
      </c>
      <c r="AA108" s="118" t="s">
        <v>709</v>
      </c>
      <c r="AB108" s="118" t="s">
        <v>514</v>
      </c>
    </row>
    <row r="109" spans="1:28" ht="75" hidden="1" x14ac:dyDescent="0.25">
      <c r="A109" s="142">
        <v>137</v>
      </c>
      <c r="B109" s="121" t="s">
        <v>721</v>
      </c>
      <c r="C109" s="121" t="s">
        <v>722</v>
      </c>
      <c r="D109" s="121"/>
      <c r="E109" s="121"/>
      <c r="F109" s="121"/>
      <c r="G109" s="121"/>
      <c r="H109" s="121" t="s">
        <v>723</v>
      </c>
      <c r="I109" s="121"/>
      <c r="J109" s="121" t="s">
        <v>55</v>
      </c>
      <c r="K109" s="121" t="s">
        <v>56</v>
      </c>
      <c r="L109" s="121" t="s">
        <v>724</v>
      </c>
      <c r="M109" s="121" t="s">
        <v>725</v>
      </c>
      <c r="N109" s="121"/>
      <c r="O109" s="121"/>
      <c r="P109" s="121"/>
      <c r="Q109" s="121"/>
      <c r="R109" s="124">
        <v>45597</v>
      </c>
      <c r="S109" s="124">
        <v>46073</v>
      </c>
      <c r="T109" s="124">
        <v>46326</v>
      </c>
      <c r="U109" s="121"/>
      <c r="V109" s="121" t="s">
        <v>59</v>
      </c>
      <c r="W109" s="121" t="s">
        <v>726</v>
      </c>
      <c r="X109" s="121"/>
      <c r="Y109" s="120">
        <v>46052</v>
      </c>
      <c r="Z109" s="120">
        <v>46073</v>
      </c>
      <c r="AA109" s="118" t="s">
        <v>45</v>
      </c>
      <c r="AB109" s="118" t="s">
        <v>74</v>
      </c>
    </row>
    <row r="110" spans="1:28" ht="60" hidden="1" x14ac:dyDescent="0.25">
      <c r="A110" s="142" t="s">
        <v>727</v>
      </c>
      <c r="B110" s="121" t="s">
        <v>728</v>
      </c>
      <c r="C110" s="121"/>
      <c r="D110" s="121" t="s">
        <v>728</v>
      </c>
      <c r="E110" s="121"/>
      <c r="F110" s="121" t="s">
        <v>583</v>
      </c>
      <c r="G110" s="121" t="s">
        <v>143</v>
      </c>
      <c r="H110" s="121"/>
      <c r="I110" s="121" t="s">
        <v>584</v>
      </c>
      <c r="J110" s="121" t="s">
        <v>55</v>
      </c>
      <c r="K110" s="121" t="s">
        <v>56</v>
      </c>
      <c r="L110" s="121"/>
      <c r="M110" s="121"/>
      <c r="N110" s="121" t="s">
        <v>39</v>
      </c>
      <c r="O110" s="121"/>
      <c r="P110" s="121" t="s">
        <v>57</v>
      </c>
      <c r="Q110" s="121" t="s">
        <v>57</v>
      </c>
      <c r="R110" s="124">
        <v>46038</v>
      </c>
      <c r="S110" s="124"/>
      <c r="T110" s="124"/>
      <c r="U110" s="121"/>
      <c r="V110" s="121"/>
      <c r="W110" s="121" t="s">
        <v>729</v>
      </c>
      <c r="X110" s="121" t="s">
        <v>730</v>
      </c>
      <c r="Y110" s="120">
        <v>46094</v>
      </c>
      <c r="Z110" s="120">
        <v>46115</v>
      </c>
      <c r="AA110" s="118" t="s">
        <v>671</v>
      </c>
      <c r="AB110" s="118" t="s">
        <v>514</v>
      </c>
    </row>
    <row r="111" spans="1:28" ht="75" hidden="1" x14ac:dyDescent="0.25">
      <c r="A111" s="142" t="s">
        <v>731</v>
      </c>
      <c r="B111" s="121" t="s">
        <v>732</v>
      </c>
      <c r="C111" s="121"/>
      <c r="D111" s="121" t="s">
        <v>733</v>
      </c>
      <c r="E111" s="121" t="s">
        <v>734</v>
      </c>
      <c r="F111" s="121" t="s">
        <v>735</v>
      </c>
      <c r="G111" s="121" t="s">
        <v>143</v>
      </c>
      <c r="H111" s="121" t="s">
        <v>563</v>
      </c>
      <c r="I111" s="121" t="s">
        <v>103</v>
      </c>
      <c r="J111" s="121" t="s">
        <v>55</v>
      </c>
      <c r="K111" s="121" t="s">
        <v>56</v>
      </c>
      <c r="L111" s="121"/>
      <c r="M111" s="121"/>
      <c r="N111" s="121" t="s">
        <v>39</v>
      </c>
      <c r="O111" s="121" t="s">
        <v>40</v>
      </c>
      <c r="P111" s="121" t="s">
        <v>41</v>
      </c>
      <c r="Q111" s="121" t="s">
        <v>58</v>
      </c>
      <c r="R111" s="124">
        <v>46052</v>
      </c>
      <c r="S111" s="124"/>
      <c r="T111" s="124">
        <v>46108</v>
      </c>
      <c r="U111" s="121"/>
      <c r="V111" s="121" t="s">
        <v>59</v>
      </c>
      <c r="W111" s="121" t="s">
        <v>1875</v>
      </c>
      <c r="X111" s="121" t="s">
        <v>736</v>
      </c>
      <c r="Y111" s="120">
        <v>46094</v>
      </c>
      <c r="Z111" s="120">
        <v>46108</v>
      </c>
      <c r="AA111" s="118" t="s">
        <v>45</v>
      </c>
      <c r="AB111" s="118" t="s">
        <v>245</v>
      </c>
    </row>
    <row r="112" spans="1:28" ht="60" hidden="1" x14ac:dyDescent="0.25">
      <c r="A112" s="142" t="s">
        <v>737</v>
      </c>
      <c r="B112" s="121" t="s">
        <v>738</v>
      </c>
      <c r="C112" s="121"/>
      <c r="D112" s="121" t="s">
        <v>739</v>
      </c>
      <c r="E112" s="121" t="s">
        <v>740</v>
      </c>
      <c r="F112" s="121" t="s">
        <v>741</v>
      </c>
      <c r="G112" s="121" t="s">
        <v>264</v>
      </c>
      <c r="H112" s="121" t="s">
        <v>465</v>
      </c>
      <c r="I112" s="121" t="s">
        <v>35</v>
      </c>
      <c r="J112" s="121" t="s">
        <v>55</v>
      </c>
      <c r="K112" s="121" t="s">
        <v>56</v>
      </c>
      <c r="L112" s="121"/>
      <c r="M112" s="121"/>
      <c r="N112" s="121" t="s">
        <v>39</v>
      </c>
      <c r="O112" s="121" t="s">
        <v>40</v>
      </c>
      <c r="P112" s="121" t="s">
        <v>105</v>
      </c>
      <c r="Q112" s="121" t="s">
        <v>57</v>
      </c>
      <c r="R112" s="124">
        <v>45667</v>
      </c>
      <c r="S112" s="124">
        <v>45742</v>
      </c>
      <c r="T112" s="124">
        <v>45742</v>
      </c>
      <c r="U112" s="121"/>
      <c r="V112" s="121" t="s">
        <v>43</v>
      </c>
      <c r="W112" s="121" t="s">
        <v>742</v>
      </c>
      <c r="X112" s="121" t="s">
        <v>743</v>
      </c>
      <c r="Y112" s="120">
        <v>45744</v>
      </c>
      <c r="Z112" s="120">
        <v>45744</v>
      </c>
      <c r="AA112" s="118" t="s">
        <v>45</v>
      </c>
      <c r="AB112" s="118" t="s">
        <v>74</v>
      </c>
    </row>
    <row r="113" spans="1:29" ht="135" hidden="1" x14ac:dyDescent="0.25">
      <c r="A113" s="142">
        <v>144</v>
      </c>
      <c r="B113" s="121" t="s">
        <v>744</v>
      </c>
      <c r="C113" s="121"/>
      <c r="D113" s="121" t="s">
        <v>745</v>
      </c>
      <c r="E113" s="121"/>
      <c r="F113" s="121" t="s">
        <v>746</v>
      </c>
      <c r="G113" s="121" t="s">
        <v>747</v>
      </c>
      <c r="H113" s="121" t="s">
        <v>748</v>
      </c>
      <c r="I113" s="121"/>
      <c r="J113" s="121" t="s">
        <v>70</v>
      </c>
      <c r="K113" s="121" t="s">
        <v>83</v>
      </c>
      <c r="L113" s="121"/>
      <c r="M113" s="121" t="s">
        <v>72</v>
      </c>
      <c r="N113" s="121" t="s">
        <v>39</v>
      </c>
      <c r="O113" s="121" t="s">
        <v>40</v>
      </c>
      <c r="P113" s="121" t="s">
        <v>41</v>
      </c>
      <c r="Q113" s="121" t="s">
        <v>42</v>
      </c>
      <c r="R113" s="124">
        <v>45726</v>
      </c>
      <c r="S113" s="124">
        <v>45856</v>
      </c>
      <c r="T113" s="124">
        <v>45961</v>
      </c>
      <c r="U113" s="121"/>
      <c r="V113" s="121" t="s">
        <v>59</v>
      </c>
      <c r="W113" s="121" t="s">
        <v>749</v>
      </c>
      <c r="X113" s="121" t="s">
        <v>750</v>
      </c>
      <c r="Y113" s="120">
        <v>45856</v>
      </c>
      <c r="Z113" s="120">
        <v>45856</v>
      </c>
      <c r="AA113" s="118" t="s">
        <v>45</v>
      </c>
      <c r="AB113" s="118" t="s">
        <v>483</v>
      </c>
    </row>
    <row r="114" spans="1:29" ht="45" hidden="1" x14ac:dyDescent="0.25">
      <c r="A114" s="142" t="s">
        <v>751</v>
      </c>
      <c r="B114" s="121" t="s">
        <v>752</v>
      </c>
      <c r="C114" s="121"/>
      <c r="D114" s="121" t="s">
        <v>753</v>
      </c>
      <c r="E114" s="121"/>
      <c r="F114" s="121" t="s">
        <v>240</v>
      </c>
      <c r="G114" s="121" t="s">
        <v>102</v>
      </c>
      <c r="H114" s="121"/>
      <c r="I114" s="121" t="s">
        <v>551</v>
      </c>
      <c r="J114" s="121" t="s">
        <v>55</v>
      </c>
      <c r="K114" s="121" t="s">
        <v>56</v>
      </c>
      <c r="L114" s="121"/>
      <c r="M114" s="121"/>
      <c r="N114" s="121" t="s">
        <v>39</v>
      </c>
      <c r="O114" s="121" t="s">
        <v>40</v>
      </c>
      <c r="P114" s="121" t="s">
        <v>41</v>
      </c>
      <c r="Q114" s="121" t="s">
        <v>57</v>
      </c>
      <c r="R114" s="124">
        <v>45677</v>
      </c>
      <c r="S114" s="124">
        <v>45716</v>
      </c>
      <c r="T114" s="124">
        <v>45716</v>
      </c>
      <c r="U114" s="121">
        <v>45709</v>
      </c>
      <c r="V114" s="121" t="s">
        <v>59</v>
      </c>
      <c r="W114" s="121" t="s">
        <v>754</v>
      </c>
      <c r="X114" s="121" t="s">
        <v>755</v>
      </c>
      <c r="Y114" s="120">
        <v>45716</v>
      </c>
      <c r="Z114" s="120">
        <v>45712</v>
      </c>
      <c r="AA114" s="118" t="s">
        <v>45</v>
      </c>
      <c r="AB114" s="118" t="s">
        <v>74</v>
      </c>
    </row>
    <row r="115" spans="1:29" ht="90" hidden="1" x14ac:dyDescent="0.25">
      <c r="A115" s="142" t="s">
        <v>756</v>
      </c>
      <c r="B115" s="121" t="s">
        <v>757</v>
      </c>
      <c r="C115" s="121"/>
      <c r="D115" s="121" t="s">
        <v>757</v>
      </c>
      <c r="E115" s="121" t="s">
        <v>758</v>
      </c>
      <c r="F115" s="121"/>
      <c r="G115" s="121" t="s">
        <v>143</v>
      </c>
      <c r="H115" s="121"/>
      <c r="I115" s="121" t="s">
        <v>584</v>
      </c>
      <c r="J115" s="121" t="s">
        <v>55</v>
      </c>
      <c r="K115" s="121" t="s">
        <v>56</v>
      </c>
      <c r="L115" s="121" t="s">
        <v>104</v>
      </c>
      <c r="M115" s="121"/>
      <c r="N115" s="121" t="s">
        <v>39</v>
      </c>
      <c r="O115" s="121"/>
      <c r="P115" s="121" t="s">
        <v>57</v>
      </c>
      <c r="Q115" s="121" t="s">
        <v>58</v>
      </c>
      <c r="R115" s="124">
        <v>46070</v>
      </c>
      <c r="S115" s="120">
        <v>46080</v>
      </c>
      <c r="T115" s="124"/>
      <c r="U115" s="121"/>
      <c r="V115" s="121"/>
      <c r="W115" s="121" t="s">
        <v>759</v>
      </c>
      <c r="X115" s="121"/>
      <c r="Y115" s="120">
        <v>46080</v>
      </c>
      <c r="Z115" s="120">
        <v>46080</v>
      </c>
      <c r="AA115" s="118" t="s">
        <v>45</v>
      </c>
      <c r="AB115" s="118" t="s">
        <v>74</v>
      </c>
    </row>
    <row r="116" spans="1:29" ht="90" hidden="1" x14ac:dyDescent="0.25">
      <c r="A116" s="142" t="s">
        <v>760</v>
      </c>
      <c r="B116" s="121" t="s">
        <v>761</v>
      </c>
      <c r="C116" s="121"/>
      <c r="D116" s="121" t="s">
        <v>762</v>
      </c>
      <c r="E116" s="121"/>
      <c r="F116" s="121" t="s">
        <v>583</v>
      </c>
      <c r="G116" s="121" t="s">
        <v>349</v>
      </c>
      <c r="H116" s="121" t="s">
        <v>563</v>
      </c>
      <c r="I116" s="121" t="s">
        <v>584</v>
      </c>
      <c r="J116" s="121" t="s">
        <v>55</v>
      </c>
      <c r="K116" s="121" t="s">
        <v>56</v>
      </c>
      <c r="L116" s="121"/>
      <c r="M116" s="121" t="s">
        <v>763</v>
      </c>
      <c r="N116" s="121" t="s">
        <v>39</v>
      </c>
      <c r="O116" s="121"/>
      <c r="P116" s="121" t="s">
        <v>57</v>
      </c>
      <c r="Q116" s="121" t="s">
        <v>58</v>
      </c>
      <c r="R116" s="124">
        <v>46037</v>
      </c>
      <c r="S116" s="124">
        <v>46083</v>
      </c>
      <c r="T116" s="124">
        <v>46087</v>
      </c>
      <c r="U116" s="121"/>
      <c r="V116" s="121" t="s">
        <v>84</v>
      </c>
      <c r="W116" s="121" t="s">
        <v>764</v>
      </c>
      <c r="X116" s="121"/>
      <c r="Y116" s="120">
        <v>46087</v>
      </c>
      <c r="Z116" s="120">
        <v>46087</v>
      </c>
      <c r="AA116" s="118" t="s">
        <v>45</v>
      </c>
      <c r="AB116" s="118" t="s">
        <v>74</v>
      </c>
    </row>
    <row r="117" spans="1:29" ht="135" hidden="1" x14ac:dyDescent="0.25">
      <c r="A117" s="142" t="s">
        <v>765</v>
      </c>
      <c r="B117" s="121" t="s">
        <v>766</v>
      </c>
      <c r="C117" s="121"/>
      <c r="D117" s="121" t="s">
        <v>767</v>
      </c>
      <c r="E117" s="121" t="s">
        <v>768</v>
      </c>
      <c r="F117" s="121" t="s">
        <v>769</v>
      </c>
      <c r="G117" s="121" t="s">
        <v>323</v>
      </c>
      <c r="H117" s="121"/>
      <c r="I117" s="121" t="s">
        <v>103</v>
      </c>
      <c r="J117" s="121" t="s">
        <v>70</v>
      </c>
      <c r="K117" s="121" t="s">
        <v>83</v>
      </c>
      <c r="L117" s="121" t="s">
        <v>104</v>
      </c>
      <c r="M117" s="121" t="s">
        <v>72</v>
      </c>
      <c r="N117" s="121" t="s">
        <v>39</v>
      </c>
      <c r="O117" s="121" t="s">
        <v>40</v>
      </c>
      <c r="P117" s="121" t="s">
        <v>41</v>
      </c>
      <c r="Q117" s="121" t="s">
        <v>344</v>
      </c>
      <c r="R117" s="124">
        <v>45721</v>
      </c>
      <c r="S117" s="124">
        <v>45860</v>
      </c>
      <c r="T117" s="124">
        <v>45930</v>
      </c>
      <c r="U117" s="121"/>
      <c r="V117" s="121" t="s">
        <v>59</v>
      </c>
      <c r="W117" s="121" t="s">
        <v>770</v>
      </c>
      <c r="X117" s="121" t="s">
        <v>771</v>
      </c>
      <c r="Y117" s="120">
        <v>45856</v>
      </c>
      <c r="Z117" s="120">
        <v>45863</v>
      </c>
      <c r="AA117" s="118" t="s">
        <v>45</v>
      </c>
      <c r="AB117" s="118" t="s">
        <v>74</v>
      </c>
    </row>
    <row r="118" spans="1:29" ht="75" hidden="1" x14ac:dyDescent="0.25">
      <c r="A118" s="142">
        <v>149</v>
      </c>
      <c r="B118" s="121" t="s">
        <v>772</v>
      </c>
      <c r="C118" s="121"/>
      <c r="D118" s="121"/>
      <c r="E118" s="121"/>
      <c r="F118" s="121" t="s">
        <v>773</v>
      </c>
      <c r="G118" s="121" t="s">
        <v>323</v>
      </c>
      <c r="H118" s="121" t="s">
        <v>774</v>
      </c>
      <c r="I118" s="121" t="s">
        <v>54</v>
      </c>
      <c r="J118" s="121" t="s">
        <v>70</v>
      </c>
      <c r="K118" s="121" t="s">
        <v>83</v>
      </c>
      <c r="L118" s="121"/>
      <c r="M118" s="121" t="s">
        <v>763</v>
      </c>
      <c r="N118" s="121" t="s">
        <v>39</v>
      </c>
      <c r="O118" s="121" t="s">
        <v>40</v>
      </c>
      <c r="P118" s="121" t="s">
        <v>57</v>
      </c>
      <c r="Q118" s="121" t="s">
        <v>58</v>
      </c>
      <c r="R118" s="124">
        <v>46038</v>
      </c>
      <c r="S118" s="124"/>
      <c r="T118" s="124">
        <v>46112</v>
      </c>
      <c r="U118" s="121"/>
      <c r="V118" s="121" t="s">
        <v>84</v>
      </c>
      <c r="W118" s="121" t="s">
        <v>775</v>
      </c>
      <c r="X118" s="121" t="s">
        <v>776</v>
      </c>
      <c r="Y118" s="120">
        <v>46052</v>
      </c>
      <c r="AA118" s="118" t="s">
        <v>288</v>
      </c>
      <c r="AB118" s="118" t="s">
        <v>303</v>
      </c>
    </row>
    <row r="119" spans="1:29" ht="210" hidden="1" x14ac:dyDescent="0.25">
      <c r="A119" s="142">
        <v>151</v>
      </c>
      <c r="B119" s="121" t="s">
        <v>777</v>
      </c>
      <c r="C119" s="121" t="s">
        <v>778</v>
      </c>
      <c r="D119" s="121" t="s">
        <v>779</v>
      </c>
      <c r="E119" s="121" t="s">
        <v>780</v>
      </c>
      <c r="F119" s="121" t="s">
        <v>781</v>
      </c>
      <c r="G119" s="121" t="s">
        <v>120</v>
      </c>
      <c r="H119" s="121"/>
      <c r="I119" s="121" t="s">
        <v>185</v>
      </c>
      <c r="J119" s="121" t="s">
        <v>95</v>
      </c>
      <c r="K119" s="121" t="s">
        <v>83</v>
      </c>
      <c r="L119" s="121" t="s">
        <v>724</v>
      </c>
      <c r="M119" s="121"/>
      <c r="N119" s="121" t="s">
        <v>39</v>
      </c>
      <c r="O119" s="121" t="s">
        <v>39</v>
      </c>
      <c r="P119" s="121" t="s">
        <v>782</v>
      </c>
      <c r="Q119" s="121" t="s">
        <v>58</v>
      </c>
      <c r="R119" s="124"/>
      <c r="S119" s="124"/>
      <c r="T119" s="124"/>
      <c r="U119" s="121"/>
      <c r="V119" s="121" t="s">
        <v>285</v>
      </c>
      <c r="W119" s="121" t="s">
        <v>783</v>
      </c>
      <c r="X119" s="121"/>
      <c r="Y119" s="120">
        <v>45828</v>
      </c>
      <c r="AA119" s="118" t="s">
        <v>288</v>
      </c>
      <c r="AB119" s="118" t="s">
        <v>657</v>
      </c>
    </row>
    <row r="120" spans="1:29" ht="105" hidden="1" x14ac:dyDescent="0.25">
      <c r="A120" s="142">
        <v>155</v>
      </c>
      <c r="B120" s="121" t="s">
        <v>784</v>
      </c>
      <c r="C120" s="121" t="s">
        <v>785</v>
      </c>
      <c r="D120" s="121" t="s">
        <v>786</v>
      </c>
      <c r="E120" s="121" t="s">
        <v>787</v>
      </c>
      <c r="F120" s="121" t="s">
        <v>788</v>
      </c>
      <c r="G120" s="121" t="s">
        <v>563</v>
      </c>
      <c r="H120" s="121" t="s">
        <v>789</v>
      </c>
      <c r="I120" s="121" t="s">
        <v>299</v>
      </c>
      <c r="J120" s="121" t="s">
        <v>284</v>
      </c>
      <c r="K120" s="121" t="s">
        <v>83</v>
      </c>
      <c r="L120" s="121" t="s">
        <v>724</v>
      </c>
      <c r="M120" s="121"/>
      <c r="N120" s="121"/>
      <c r="O120" s="121"/>
      <c r="P120" s="121"/>
      <c r="Q120" s="121"/>
      <c r="R120" s="124">
        <v>45768</v>
      </c>
      <c r="S120" s="124">
        <v>45814</v>
      </c>
      <c r="T120" s="124">
        <v>45901</v>
      </c>
      <c r="U120" s="121"/>
      <c r="V120" s="121" t="s">
        <v>96</v>
      </c>
      <c r="W120" s="121" t="s">
        <v>790</v>
      </c>
      <c r="X120" s="121" t="s">
        <v>791</v>
      </c>
      <c r="Y120" s="120">
        <v>45814</v>
      </c>
      <c r="Z120" s="120">
        <v>45821</v>
      </c>
      <c r="AA120" s="118" t="s">
        <v>45</v>
      </c>
      <c r="AB120" s="118" t="s">
        <v>74</v>
      </c>
    </row>
    <row r="121" spans="1:29" ht="105" hidden="1" x14ac:dyDescent="0.25">
      <c r="A121" s="142" t="s">
        <v>792</v>
      </c>
      <c r="B121" s="121" t="s">
        <v>374</v>
      </c>
      <c r="C121" s="121" t="s">
        <v>793</v>
      </c>
      <c r="D121" s="121" t="s">
        <v>794</v>
      </c>
      <c r="E121" s="121"/>
      <c r="F121" s="121" t="s">
        <v>377</v>
      </c>
      <c r="G121" s="121" t="s">
        <v>241</v>
      </c>
      <c r="H121" s="121" t="s">
        <v>795</v>
      </c>
      <c r="I121" s="121" t="s">
        <v>378</v>
      </c>
      <c r="J121" s="121" t="s">
        <v>70</v>
      </c>
      <c r="K121" s="121" t="s">
        <v>56</v>
      </c>
      <c r="L121" s="121"/>
      <c r="M121" s="121" t="s">
        <v>725</v>
      </c>
      <c r="N121" s="121" t="s">
        <v>39</v>
      </c>
      <c r="O121" s="121"/>
      <c r="P121" s="121" t="s">
        <v>57</v>
      </c>
      <c r="Q121" s="121" t="s">
        <v>42</v>
      </c>
      <c r="R121" s="124">
        <v>45597</v>
      </c>
      <c r="S121" s="124"/>
      <c r="T121" s="124">
        <v>45898</v>
      </c>
      <c r="U121" s="121"/>
      <c r="V121" s="121" t="s">
        <v>96</v>
      </c>
      <c r="W121" s="121" t="s">
        <v>796</v>
      </c>
      <c r="X121" s="121" t="s">
        <v>797</v>
      </c>
      <c r="Y121" s="120">
        <v>45912</v>
      </c>
      <c r="AA121" s="118" t="s">
        <v>288</v>
      </c>
      <c r="AB121" s="118" t="s">
        <v>74</v>
      </c>
    </row>
    <row r="122" spans="1:29" ht="75" hidden="1" x14ac:dyDescent="0.25">
      <c r="A122" s="142" t="s">
        <v>798</v>
      </c>
      <c r="B122" s="121" t="s">
        <v>799</v>
      </c>
      <c r="C122" s="121"/>
      <c r="D122" s="121" t="s">
        <v>800</v>
      </c>
      <c r="E122" s="121" t="s">
        <v>801</v>
      </c>
      <c r="F122" s="121" t="s">
        <v>101</v>
      </c>
      <c r="G122" s="121" t="s">
        <v>52</v>
      </c>
      <c r="H122" s="121" t="s">
        <v>53</v>
      </c>
      <c r="I122" s="121" t="s">
        <v>103</v>
      </c>
      <c r="J122" s="121" t="s">
        <v>55</v>
      </c>
      <c r="K122" s="121" t="s">
        <v>56</v>
      </c>
      <c r="L122" s="121"/>
      <c r="M122" s="121"/>
      <c r="N122" s="121" t="s">
        <v>39</v>
      </c>
      <c r="O122" s="121" t="s">
        <v>40</v>
      </c>
      <c r="P122" s="121" t="s">
        <v>41</v>
      </c>
      <c r="Q122" s="121" t="s">
        <v>58</v>
      </c>
      <c r="R122" s="124">
        <v>45733</v>
      </c>
      <c r="S122" s="124">
        <v>45733</v>
      </c>
      <c r="T122" s="124">
        <v>45737</v>
      </c>
      <c r="U122" s="121"/>
      <c r="V122" s="121" t="s">
        <v>43</v>
      </c>
      <c r="W122" s="121" t="s">
        <v>802</v>
      </c>
      <c r="X122" s="121" t="s">
        <v>803</v>
      </c>
      <c r="Y122" s="120">
        <v>45737</v>
      </c>
      <c r="Z122" s="120">
        <v>45737</v>
      </c>
      <c r="AA122" s="118" t="s">
        <v>45</v>
      </c>
      <c r="AB122" s="118" t="s">
        <v>74</v>
      </c>
    </row>
    <row r="123" spans="1:29" ht="360" hidden="1" x14ac:dyDescent="0.25">
      <c r="A123" s="142" t="s">
        <v>804</v>
      </c>
      <c r="B123" s="121" t="s">
        <v>181</v>
      </c>
      <c r="C123" s="121" t="s">
        <v>805</v>
      </c>
      <c r="D123" s="121" t="s">
        <v>806</v>
      </c>
      <c r="E123" s="121" t="s">
        <v>807</v>
      </c>
      <c r="F123" s="121" t="s">
        <v>119</v>
      </c>
      <c r="G123" s="121" t="s">
        <v>120</v>
      </c>
      <c r="H123" s="121" t="s">
        <v>808</v>
      </c>
      <c r="I123" s="121" t="s">
        <v>185</v>
      </c>
      <c r="J123" s="121" t="s">
        <v>144</v>
      </c>
      <c r="K123" s="121" t="s">
        <v>83</v>
      </c>
      <c r="L123" s="121" t="s">
        <v>224</v>
      </c>
      <c r="M123" s="121"/>
      <c r="N123" s="121" t="s">
        <v>39</v>
      </c>
      <c r="O123" s="121" t="s">
        <v>40</v>
      </c>
      <c r="P123" s="121" t="s">
        <v>41</v>
      </c>
      <c r="Q123" s="121" t="s">
        <v>42</v>
      </c>
      <c r="R123" s="124">
        <v>45271</v>
      </c>
      <c r="S123" s="124">
        <v>45786</v>
      </c>
      <c r="T123" s="124">
        <v>45808</v>
      </c>
      <c r="U123" s="121"/>
      <c r="V123" s="121" t="s">
        <v>59</v>
      </c>
      <c r="W123" s="121" t="s">
        <v>809</v>
      </c>
      <c r="X123" s="121" t="s">
        <v>810</v>
      </c>
      <c r="Y123" s="120">
        <v>45786</v>
      </c>
      <c r="Z123" s="120">
        <v>45786</v>
      </c>
      <c r="AA123" s="118" t="s">
        <v>45</v>
      </c>
      <c r="AB123" s="118" t="s">
        <v>74</v>
      </c>
      <c r="AC123" s="122">
        <v>0.9</v>
      </c>
    </row>
    <row r="124" spans="1:29" ht="30" hidden="1" x14ac:dyDescent="0.25">
      <c r="A124" s="142" t="s">
        <v>811</v>
      </c>
      <c r="B124" s="121" t="s">
        <v>812</v>
      </c>
      <c r="C124" s="121"/>
      <c r="D124" s="121" t="s">
        <v>813</v>
      </c>
      <c r="E124" s="121"/>
      <c r="F124" s="121" t="s">
        <v>814</v>
      </c>
      <c r="G124" s="121" t="s">
        <v>52</v>
      </c>
      <c r="H124" s="121"/>
      <c r="I124" s="121" t="s">
        <v>82</v>
      </c>
      <c r="J124" s="121" t="s">
        <v>55</v>
      </c>
      <c r="K124" s="121" t="s">
        <v>56</v>
      </c>
      <c r="L124" s="121"/>
      <c r="M124" s="121"/>
      <c r="N124" s="121" t="s">
        <v>39</v>
      </c>
      <c r="O124" s="121" t="s">
        <v>40</v>
      </c>
      <c r="P124" s="121" t="s">
        <v>57</v>
      </c>
      <c r="Q124" s="121" t="s">
        <v>58</v>
      </c>
      <c r="R124" s="124">
        <v>45663</v>
      </c>
      <c r="S124" s="124">
        <v>45664</v>
      </c>
      <c r="T124" s="124">
        <v>45667</v>
      </c>
      <c r="U124" s="121"/>
      <c r="V124" s="121" t="s">
        <v>43</v>
      </c>
      <c r="W124" s="121"/>
      <c r="X124" s="121"/>
      <c r="Z124" s="120">
        <v>45660</v>
      </c>
      <c r="AA124" s="118" t="s">
        <v>45</v>
      </c>
      <c r="AB124" s="118" t="s">
        <v>74</v>
      </c>
    </row>
    <row r="125" spans="1:29" ht="409.5" hidden="1" x14ac:dyDescent="0.25">
      <c r="A125" s="142" t="s">
        <v>815</v>
      </c>
      <c r="B125" s="121" t="s">
        <v>76</v>
      </c>
      <c r="C125" s="121" t="s">
        <v>816</v>
      </c>
      <c r="D125" s="121" t="s">
        <v>817</v>
      </c>
      <c r="E125" s="121" t="s">
        <v>818</v>
      </c>
      <c r="F125" s="121"/>
      <c r="G125" s="121" t="s">
        <v>53</v>
      </c>
      <c r="H125" s="121" t="s">
        <v>81</v>
      </c>
      <c r="I125" s="121" t="s">
        <v>82</v>
      </c>
      <c r="J125" s="121" t="s">
        <v>70</v>
      </c>
      <c r="K125" s="121" t="s">
        <v>83</v>
      </c>
      <c r="L125" s="121" t="s">
        <v>71</v>
      </c>
      <c r="M125" s="121" t="s">
        <v>72</v>
      </c>
      <c r="N125" s="121" t="s">
        <v>39</v>
      </c>
      <c r="O125" s="121" t="s">
        <v>40</v>
      </c>
      <c r="P125" s="121" t="s">
        <v>41</v>
      </c>
      <c r="Q125" s="121" t="s">
        <v>57</v>
      </c>
      <c r="R125" s="124">
        <v>45719</v>
      </c>
      <c r="S125" s="124">
        <v>45961</v>
      </c>
      <c r="T125" s="124">
        <v>45961</v>
      </c>
      <c r="U125" s="121"/>
      <c r="V125" s="121" t="s">
        <v>84</v>
      </c>
      <c r="W125" s="121" t="s">
        <v>819</v>
      </c>
      <c r="X125" s="121" t="s">
        <v>820</v>
      </c>
      <c r="Y125" s="120">
        <v>45954</v>
      </c>
      <c r="Z125" s="120">
        <v>45961</v>
      </c>
      <c r="AA125" s="118" t="s">
        <v>45</v>
      </c>
      <c r="AB125" s="118" t="s">
        <v>74</v>
      </c>
    </row>
    <row r="126" spans="1:29" ht="60" hidden="1" x14ac:dyDescent="0.25">
      <c r="A126" s="142" t="s">
        <v>821</v>
      </c>
      <c r="B126" s="121" t="s">
        <v>822</v>
      </c>
      <c r="C126" s="121"/>
      <c r="D126" s="121" t="s">
        <v>547</v>
      </c>
      <c r="E126" s="121" t="s">
        <v>548</v>
      </c>
      <c r="F126" s="121" t="s">
        <v>549</v>
      </c>
      <c r="G126" s="121" t="s">
        <v>265</v>
      </c>
      <c r="H126" s="121" t="s">
        <v>823</v>
      </c>
      <c r="I126" s="121" t="s">
        <v>551</v>
      </c>
      <c r="J126" s="121" t="s">
        <v>55</v>
      </c>
      <c r="K126" s="121" t="s">
        <v>56</v>
      </c>
      <c r="L126" s="121"/>
      <c r="M126" s="121" t="s">
        <v>266</v>
      </c>
      <c r="N126" s="121" t="s">
        <v>39</v>
      </c>
      <c r="O126" s="121" t="s">
        <v>40</v>
      </c>
      <c r="P126" s="121" t="s">
        <v>105</v>
      </c>
      <c r="Q126" s="121" t="s">
        <v>57</v>
      </c>
      <c r="R126" s="124">
        <v>45838</v>
      </c>
      <c r="S126" s="124">
        <v>45936</v>
      </c>
      <c r="T126" s="124">
        <v>45936</v>
      </c>
      <c r="U126" s="121"/>
      <c r="V126" s="121" t="s">
        <v>43</v>
      </c>
      <c r="W126" s="121" t="s">
        <v>824</v>
      </c>
      <c r="X126" s="121" t="s">
        <v>825</v>
      </c>
      <c r="Y126" s="120">
        <v>45930</v>
      </c>
      <c r="Z126" s="120">
        <v>45940</v>
      </c>
      <c r="AA126" s="118" t="s">
        <v>45</v>
      </c>
      <c r="AB126" s="118" t="s">
        <v>74</v>
      </c>
    </row>
    <row r="127" spans="1:29" ht="30" hidden="1" x14ac:dyDescent="0.25">
      <c r="A127" s="142" t="s">
        <v>826</v>
      </c>
      <c r="B127" s="121" t="s">
        <v>827</v>
      </c>
      <c r="C127" s="121"/>
      <c r="D127" s="121" t="s">
        <v>556</v>
      </c>
      <c r="E127" s="121"/>
      <c r="F127" s="121" t="s">
        <v>557</v>
      </c>
      <c r="G127" s="121" t="s">
        <v>828</v>
      </c>
      <c r="H127" s="121"/>
      <c r="I127" s="121" t="s">
        <v>551</v>
      </c>
      <c r="J127" s="121" t="s">
        <v>55</v>
      </c>
      <c r="K127" s="121" t="s">
        <v>56</v>
      </c>
      <c r="L127" s="121"/>
      <c r="M127" s="121" t="s">
        <v>266</v>
      </c>
      <c r="N127" s="121" t="s">
        <v>39</v>
      </c>
      <c r="O127" s="121"/>
      <c r="P127" s="121" t="s">
        <v>57</v>
      </c>
      <c r="Q127" s="121" t="s">
        <v>301</v>
      </c>
      <c r="R127" s="124">
        <v>46006</v>
      </c>
      <c r="S127" s="124">
        <v>46011</v>
      </c>
      <c r="T127" s="124">
        <v>46014</v>
      </c>
      <c r="U127" s="121"/>
      <c r="V127" s="121" t="s">
        <v>84</v>
      </c>
      <c r="W127" s="121" t="s">
        <v>829</v>
      </c>
      <c r="X127" s="121"/>
      <c r="Y127" s="120">
        <v>46003</v>
      </c>
      <c r="Z127" s="120">
        <v>46010</v>
      </c>
      <c r="AA127" s="118" t="s">
        <v>45</v>
      </c>
      <c r="AB127" s="118" t="s">
        <v>74</v>
      </c>
    </row>
    <row r="128" spans="1:29" ht="45" hidden="1" x14ac:dyDescent="0.25">
      <c r="A128" s="142" t="s">
        <v>830</v>
      </c>
      <c r="B128" s="121" t="s">
        <v>831</v>
      </c>
      <c r="C128" s="121"/>
      <c r="D128" s="121" t="s">
        <v>753</v>
      </c>
      <c r="E128" s="121"/>
      <c r="F128" s="121" t="s">
        <v>240</v>
      </c>
      <c r="G128" s="121" t="s">
        <v>102</v>
      </c>
      <c r="H128" s="121"/>
      <c r="I128" s="121" t="s">
        <v>551</v>
      </c>
      <c r="J128" s="121" t="s">
        <v>55</v>
      </c>
      <c r="K128" s="121" t="s">
        <v>56</v>
      </c>
      <c r="L128" s="121"/>
      <c r="M128" s="121" t="s">
        <v>266</v>
      </c>
      <c r="N128" s="121" t="s">
        <v>39</v>
      </c>
      <c r="O128" s="121" t="s">
        <v>40</v>
      </c>
      <c r="P128" s="121" t="s">
        <v>41</v>
      </c>
      <c r="Q128" s="121" t="s">
        <v>57</v>
      </c>
      <c r="R128" s="124">
        <v>45880</v>
      </c>
      <c r="S128" s="124">
        <v>45925</v>
      </c>
      <c r="T128" s="124">
        <v>45930</v>
      </c>
      <c r="U128" s="121"/>
      <c r="V128" s="121" t="s">
        <v>59</v>
      </c>
      <c r="W128" s="121" t="s">
        <v>832</v>
      </c>
      <c r="X128" s="121" t="s">
        <v>833</v>
      </c>
      <c r="Y128" s="120">
        <v>45912</v>
      </c>
      <c r="Z128" s="120">
        <v>45919</v>
      </c>
      <c r="AA128" s="118" t="s">
        <v>45</v>
      </c>
      <c r="AB128" s="118" t="s">
        <v>74</v>
      </c>
    </row>
    <row r="129" spans="1:29" ht="180" hidden="1" x14ac:dyDescent="0.25">
      <c r="A129" s="142" t="s">
        <v>834</v>
      </c>
      <c r="B129" s="121" t="s">
        <v>835</v>
      </c>
      <c r="C129" s="121"/>
      <c r="D129" s="121" t="s">
        <v>100</v>
      </c>
      <c r="E129" s="121"/>
      <c r="F129" s="121" t="s">
        <v>101</v>
      </c>
      <c r="G129" s="121" t="s">
        <v>102</v>
      </c>
      <c r="H129" s="121"/>
      <c r="I129" s="121" t="s">
        <v>103</v>
      </c>
      <c r="J129" s="121" t="s">
        <v>55</v>
      </c>
      <c r="K129" s="121" t="s">
        <v>56</v>
      </c>
      <c r="L129" s="121" t="s">
        <v>104</v>
      </c>
      <c r="M129" s="121" t="s">
        <v>266</v>
      </c>
      <c r="N129" s="121" t="s">
        <v>39</v>
      </c>
      <c r="O129" s="121" t="s">
        <v>40</v>
      </c>
      <c r="P129" s="121" t="s">
        <v>105</v>
      </c>
      <c r="Q129" s="121" t="s">
        <v>57</v>
      </c>
      <c r="R129" s="124">
        <v>45726</v>
      </c>
      <c r="S129" s="124">
        <v>45862</v>
      </c>
      <c r="T129" s="124">
        <v>45869</v>
      </c>
      <c r="U129" s="121"/>
      <c r="V129" s="121" t="s">
        <v>43</v>
      </c>
      <c r="W129" s="121" t="s">
        <v>836</v>
      </c>
      <c r="X129" s="121" t="s">
        <v>837</v>
      </c>
      <c r="Y129" s="120">
        <v>45862</v>
      </c>
      <c r="Z129" s="120">
        <v>45863</v>
      </c>
      <c r="AA129" s="118" t="s">
        <v>45</v>
      </c>
      <c r="AB129" s="118" t="s">
        <v>74</v>
      </c>
      <c r="AC129" s="122">
        <v>1</v>
      </c>
    </row>
    <row r="130" spans="1:29" ht="165" hidden="1" x14ac:dyDescent="0.25">
      <c r="A130" s="142" t="s">
        <v>838</v>
      </c>
      <c r="B130" s="121" t="s">
        <v>839</v>
      </c>
      <c r="C130" s="121"/>
      <c r="D130" s="121" t="s">
        <v>840</v>
      </c>
      <c r="E130" s="121"/>
      <c r="F130" s="121" t="s">
        <v>101</v>
      </c>
      <c r="G130" s="121" t="s">
        <v>841</v>
      </c>
      <c r="H130" s="121"/>
      <c r="I130" s="121" t="s">
        <v>103</v>
      </c>
      <c r="J130" s="121" t="s">
        <v>55</v>
      </c>
      <c r="K130" s="121" t="s">
        <v>56</v>
      </c>
      <c r="L130" s="121" t="s">
        <v>104</v>
      </c>
      <c r="M130" s="121" t="s">
        <v>266</v>
      </c>
      <c r="N130" s="121" t="s">
        <v>39</v>
      </c>
      <c r="O130" s="121" t="s">
        <v>40</v>
      </c>
      <c r="P130" s="121" t="s">
        <v>105</v>
      </c>
      <c r="Q130" s="121" t="s">
        <v>57</v>
      </c>
      <c r="R130" s="124">
        <v>45665</v>
      </c>
      <c r="S130" s="124">
        <v>45898</v>
      </c>
      <c r="T130" s="124">
        <v>45930</v>
      </c>
      <c r="U130" s="121"/>
      <c r="V130" s="121" t="s">
        <v>43</v>
      </c>
      <c r="W130" s="121" t="s">
        <v>842</v>
      </c>
      <c r="X130" s="121"/>
      <c r="Y130" s="120">
        <v>45863</v>
      </c>
      <c r="Z130" s="120">
        <v>45884</v>
      </c>
      <c r="AA130" s="118" t="s">
        <v>45</v>
      </c>
      <c r="AB130" s="118" t="s">
        <v>74</v>
      </c>
    </row>
    <row r="131" spans="1:29" ht="225" hidden="1" x14ac:dyDescent="0.25">
      <c r="A131" s="142" t="s">
        <v>843</v>
      </c>
      <c r="B131" s="121" t="s">
        <v>844</v>
      </c>
      <c r="C131" s="121"/>
      <c r="D131" s="121" t="s">
        <v>565</v>
      </c>
      <c r="E131" s="121"/>
      <c r="F131" s="121" t="s">
        <v>101</v>
      </c>
      <c r="G131" s="121" t="s">
        <v>120</v>
      </c>
      <c r="H131" s="121" t="s">
        <v>845</v>
      </c>
      <c r="I131" s="121" t="s">
        <v>103</v>
      </c>
      <c r="J131" s="121" t="s">
        <v>55</v>
      </c>
      <c r="K131" s="121" t="s">
        <v>56</v>
      </c>
      <c r="L131" s="121" t="s">
        <v>104</v>
      </c>
      <c r="M131" s="121" t="s">
        <v>266</v>
      </c>
      <c r="N131" s="121" t="s">
        <v>39</v>
      </c>
      <c r="O131" s="121" t="s">
        <v>40</v>
      </c>
      <c r="P131" s="121" t="s">
        <v>105</v>
      </c>
      <c r="Q131" s="121" t="s">
        <v>344</v>
      </c>
      <c r="R131" s="124">
        <v>45870</v>
      </c>
      <c r="S131" s="124">
        <v>45979</v>
      </c>
      <c r="T131" s="124">
        <v>45979</v>
      </c>
      <c r="U131" s="121"/>
      <c r="V131" s="121" t="s">
        <v>43</v>
      </c>
      <c r="W131" s="121" t="s">
        <v>846</v>
      </c>
      <c r="X131" s="121"/>
      <c r="Y131" s="120">
        <v>45982</v>
      </c>
      <c r="Z131" s="120">
        <v>45982</v>
      </c>
      <c r="AA131" s="118" t="s">
        <v>45</v>
      </c>
      <c r="AB131" s="118" t="s">
        <v>74</v>
      </c>
    </row>
    <row r="132" spans="1:29" ht="60" hidden="1" x14ac:dyDescent="0.25">
      <c r="A132" s="142" t="s">
        <v>847</v>
      </c>
      <c r="B132" s="121" t="s">
        <v>848</v>
      </c>
      <c r="C132" s="121"/>
      <c r="D132" s="121" t="s">
        <v>849</v>
      </c>
      <c r="E132" s="121"/>
      <c r="F132" s="121" t="s">
        <v>583</v>
      </c>
      <c r="G132" s="121" t="s">
        <v>349</v>
      </c>
      <c r="H132" s="121"/>
      <c r="I132" s="121" t="s">
        <v>584</v>
      </c>
      <c r="J132" s="121" t="s">
        <v>55</v>
      </c>
      <c r="K132" s="121" t="s">
        <v>56</v>
      </c>
      <c r="L132" s="121"/>
      <c r="M132" s="121"/>
      <c r="N132" s="121" t="s">
        <v>39</v>
      </c>
      <c r="O132" s="121"/>
      <c r="P132" s="121" t="s">
        <v>57</v>
      </c>
      <c r="Q132" s="121" t="s">
        <v>58</v>
      </c>
      <c r="R132" s="124">
        <v>45744</v>
      </c>
      <c r="S132" s="124">
        <v>45751</v>
      </c>
      <c r="T132" s="124">
        <v>45751</v>
      </c>
      <c r="U132" s="121"/>
      <c r="V132" s="121" t="s">
        <v>43</v>
      </c>
      <c r="W132" s="121" t="s">
        <v>850</v>
      </c>
      <c r="X132" s="121"/>
      <c r="Y132" s="120">
        <v>45751</v>
      </c>
      <c r="Z132" s="120">
        <v>45751</v>
      </c>
      <c r="AA132" s="118" t="s">
        <v>45</v>
      </c>
      <c r="AB132" s="118" t="s">
        <v>74</v>
      </c>
    </row>
    <row r="133" spans="1:29" ht="180" hidden="1" x14ac:dyDescent="0.25">
      <c r="A133" s="142" t="s">
        <v>851</v>
      </c>
      <c r="B133" s="121" t="s">
        <v>852</v>
      </c>
      <c r="C133" s="121"/>
      <c r="D133" s="121" t="s">
        <v>853</v>
      </c>
      <c r="E133" s="121" t="s">
        <v>854</v>
      </c>
      <c r="F133" s="121" t="s">
        <v>583</v>
      </c>
      <c r="G133" s="121" t="s">
        <v>53</v>
      </c>
      <c r="H133" s="121" t="s">
        <v>52</v>
      </c>
      <c r="I133" s="121" t="s">
        <v>103</v>
      </c>
      <c r="J133" s="121" t="s">
        <v>55</v>
      </c>
      <c r="K133" s="121" t="s">
        <v>56</v>
      </c>
      <c r="L133" s="121" t="s">
        <v>104</v>
      </c>
      <c r="M133" s="121" t="s">
        <v>855</v>
      </c>
      <c r="N133" s="121" t="s">
        <v>39</v>
      </c>
      <c r="O133" s="121" t="s">
        <v>40</v>
      </c>
      <c r="P133" s="121" t="s">
        <v>105</v>
      </c>
      <c r="Q133" s="121" t="s">
        <v>42</v>
      </c>
      <c r="R133" s="124">
        <v>45744</v>
      </c>
      <c r="S133" s="124">
        <v>45867</v>
      </c>
      <c r="T133" s="124">
        <v>45869</v>
      </c>
      <c r="U133" s="121"/>
      <c r="V133" s="121" t="s">
        <v>43</v>
      </c>
      <c r="W133" s="121" t="s">
        <v>856</v>
      </c>
      <c r="X133" s="121"/>
      <c r="Y133" s="120">
        <v>45863</v>
      </c>
      <c r="Z133" s="120">
        <v>45849</v>
      </c>
      <c r="AA133" s="118" t="s">
        <v>45</v>
      </c>
      <c r="AB133" s="118" t="s">
        <v>74</v>
      </c>
    </row>
    <row r="134" spans="1:29" ht="165" hidden="1" x14ac:dyDescent="0.25">
      <c r="A134" s="142" t="s">
        <v>857</v>
      </c>
      <c r="B134" s="121" t="s">
        <v>858</v>
      </c>
      <c r="C134" s="121"/>
      <c r="D134" s="121" t="s">
        <v>569</v>
      </c>
      <c r="E134" s="121" t="s">
        <v>859</v>
      </c>
      <c r="F134" s="121" t="s">
        <v>570</v>
      </c>
      <c r="G134" s="121" t="s">
        <v>53</v>
      </c>
      <c r="H134" s="121"/>
      <c r="I134" s="121" t="s">
        <v>103</v>
      </c>
      <c r="J134" s="121" t="s">
        <v>55</v>
      </c>
      <c r="K134" s="121" t="s">
        <v>56</v>
      </c>
      <c r="L134" s="121" t="s">
        <v>104</v>
      </c>
      <c r="M134" s="121" t="s">
        <v>855</v>
      </c>
      <c r="N134" s="121" t="s">
        <v>39</v>
      </c>
      <c r="O134" s="121" t="s">
        <v>40</v>
      </c>
      <c r="P134" s="121" t="s">
        <v>105</v>
      </c>
      <c r="Q134" s="121" t="s">
        <v>42</v>
      </c>
      <c r="R134" s="124">
        <v>45870</v>
      </c>
      <c r="S134" s="124">
        <v>45912</v>
      </c>
      <c r="T134" s="124">
        <v>45912</v>
      </c>
      <c r="U134" s="121"/>
      <c r="V134" s="121" t="s">
        <v>43</v>
      </c>
      <c r="W134" s="121" t="s">
        <v>860</v>
      </c>
      <c r="X134" s="121"/>
      <c r="Y134" s="120">
        <v>45912</v>
      </c>
      <c r="Z134" s="120">
        <v>45919</v>
      </c>
      <c r="AA134" s="118" t="s">
        <v>45</v>
      </c>
      <c r="AB134" s="118" t="s">
        <v>74</v>
      </c>
    </row>
    <row r="135" spans="1:29" ht="60" hidden="1" x14ac:dyDescent="0.25">
      <c r="A135" s="142" t="s">
        <v>861</v>
      </c>
      <c r="B135" s="121" t="s">
        <v>757</v>
      </c>
      <c r="C135" s="121"/>
      <c r="D135" s="121" t="s">
        <v>757</v>
      </c>
      <c r="E135" s="121" t="s">
        <v>758</v>
      </c>
      <c r="F135" s="121"/>
      <c r="G135" s="121" t="s">
        <v>448</v>
      </c>
      <c r="H135" s="121"/>
      <c r="I135" s="121" t="s">
        <v>584</v>
      </c>
      <c r="J135" s="121" t="s">
        <v>55</v>
      </c>
      <c r="K135" s="121" t="s">
        <v>56</v>
      </c>
      <c r="L135" s="121" t="s">
        <v>104</v>
      </c>
      <c r="M135" s="121"/>
      <c r="N135" s="121" t="s">
        <v>39</v>
      </c>
      <c r="O135" s="121"/>
      <c r="P135" s="121" t="s">
        <v>57</v>
      </c>
      <c r="Q135" s="121" t="s">
        <v>58</v>
      </c>
      <c r="R135" s="124">
        <v>45691</v>
      </c>
      <c r="S135" s="124"/>
      <c r="T135" s="124">
        <v>45716</v>
      </c>
      <c r="U135" s="121"/>
      <c r="V135" s="121" t="s">
        <v>43</v>
      </c>
      <c r="W135" s="121"/>
      <c r="X135" s="121" t="s">
        <v>862</v>
      </c>
      <c r="Y135" s="120">
        <v>45702</v>
      </c>
      <c r="Z135" s="120">
        <v>46087</v>
      </c>
      <c r="AA135" s="118" t="s">
        <v>288</v>
      </c>
      <c r="AB135" s="118" t="s">
        <v>514</v>
      </c>
    </row>
    <row r="136" spans="1:29" ht="45" hidden="1" x14ac:dyDescent="0.25">
      <c r="A136" s="142" t="s">
        <v>863</v>
      </c>
      <c r="B136" s="121" t="s">
        <v>864</v>
      </c>
      <c r="C136" s="121"/>
      <c r="D136" s="121" t="s">
        <v>865</v>
      </c>
      <c r="E136" s="121"/>
      <c r="F136" s="121" t="s">
        <v>190</v>
      </c>
      <c r="G136" s="121" t="s">
        <v>349</v>
      </c>
      <c r="H136" s="121"/>
      <c r="I136" s="121" t="s">
        <v>54</v>
      </c>
      <c r="J136" s="121" t="s">
        <v>55</v>
      </c>
      <c r="K136" s="121" t="s">
        <v>56</v>
      </c>
      <c r="L136" s="121" t="s">
        <v>104</v>
      </c>
      <c r="M136" s="121"/>
      <c r="N136" s="121" t="s">
        <v>39</v>
      </c>
      <c r="O136" s="121"/>
      <c r="P136" s="121" t="s">
        <v>57</v>
      </c>
      <c r="Q136" s="121" t="s">
        <v>58</v>
      </c>
      <c r="R136" s="124">
        <v>45748</v>
      </c>
      <c r="S136" s="124">
        <v>45793</v>
      </c>
      <c r="T136" s="124">
        <v>45793</v>
      </c>
      <c r="U136" s="121"/>
      <c r="V136" s="121" t="s">
        <v>59</v>
      </c>
      <c r="W136" s="121" t="s">
        <v>866</v>
      </c>
      <c r="X136" s="121" t="s">
        <v>867</v>
      </c>
      <c r="Y136" s="120">
        <v>45806</v>
      </c>
      <c r="AA136" s="118" t="s">
        <v>45</v>
      </c>
      <c r="AB136" s="118" t="s">
        <v>74</v>
      </c>
    </row>
    <row r="137" spans="1:29" ht="240" hidden="1" x14ac:dyDescent="0.25">
      <c r="A137" s="142" t="s">
        <v>868</v>
      </c>
      <c r="B137" s="121" t="s">
        <v>869</v>
      </c>
      <c r="C137" s="121"/>
      <c r="D137" s="121" t="s">
        <v>575</v>
      </c>
      <c r="E137" s="121"/>
      <c r="F137" s="121" t="s">
        <v>576</v>
      </c>
      <c r="G137" s="121" t="s">
        <v>52</v>
      </c>
      <c r="H137" s="121" t="s">
        <v>789</v>
      </c>
      <c r="I137" s="121" t="s">
        <v>82</v>
      </c>
      <c r="J137" s="121" t="s">
        <v>55</v>
      </c>
      <c r="K137" s="121" t="s">
        <v>56</v>
      </c>
      <c r="L137" s="121" t="s">
        <v>104</v>
      </c>
      <c r="M137" s="121" t="s">
        <v>870</v>
      </c>
      <c r="N137" s="121" t="s">
        <v>39</v>
      </c>
      <c r="O137" s="121" t="s">
        <v>40</v>
      </c>
      <c r="P137" s="121" t="s">
        <v>41</v>
      </c>
      <c r="Q137" s="121" t="s">
        <v>42</v>
      </c>
      <c r="R137" s="124">
        <v>45870</v>
      </c>
      <c r="S137" s="124">
        <v>45953</v>
      </c>
      <c r="T137" s="124">
        <v>45961</v>
      </c>
      <c r="U137" s="121"/>
      <c r="V137" s="121" t="s">
        <v>84</v>
      </c>
      <c r="W137" s="121" t="s">
        <v>871</v>
      </c>
      <c r="X137" s="121"/>
      <c r="Y137" s="120">
        <v>45954</v>
      </c>
      <c r="Z137" s="120">
        <v>45947</v>
      </c>
      <c r="AA137" s="118" t="s">
        <v>45</v>
      </c>
      <c r="AB137" s="118" t="s">
        <v>74</v>
      </c>
    </row>
    <row r="138" spans="1:29" ht="30" hidden="1" x14ac:dyDescent="0.25">
      <c r="A138" s="142" t="s">
        <v>872</v>
      </c>
      <c r="B138" s="121" t="s">
        <v>732</v>
      </c>
      <c r="C138" s="121"/>
      <c r="D138" s="121" t="s">
        <v>733</v>
      </c>
      <c r="E138" s="121" t="s">
        <v>734</v>
      </c>
      <c r="F138" s="121" t="s">
        <v>735</v>
      </c>
      <c r="G138" s="121" t="s">
        <v>563</v>
      </c>
      <c r="H138" s="121"/>
      <c r="I138" s="121" t="s">
        <v>103</v>
      </c>
      <c r="J138" s="121" t="s">
        <v>55</v>
      </c>
      <c r="K138" s="121" t="s">
        <v>56</v>
      </c>
      <c r="L138" s="121"/>
      <c r="M138" s="121"/>
      <c r="N138" s="121" t="s">
        <v>39</v>
      </c>
      <c r="O138" s="121" t="s">
        <v>40</v>
      </c>
      <c r="P138" s="121" t="s">
        <v>41</v>
      </c>
      <c r="Q138" s="121" t="s">
        <v>58</v>
      </c>
      <c r="R138" s="124">
        <v>45717</v>
      </c>
      <c r="S138" s="124">
        <v>45722</v>
      </c>
      <c r="T138" s="124">
        <v>45730</v>
      </c>
      <c r="U138" s="121"/>
      <c r="V138" s="121" t="s">
        <v>43</v>
      </c>
      <c r="W138" s="121" t="s">
        <v>873</v>
      </c>
      <c r="X138" s="121"/>
      <c r="Y138" s="120">
        <v>45716</v>
      </c>
      <c r="Z138" s="120">
        <v>45719</v>
      </c>
      <c r="AA138" s="118" t="s">
        <v>45</v>
      </c>
      <c r="AB138" s="118" t="s">
        <v>74</v>
      </c>
    </row>
    <row r="139" spans="1:29" ht="90" hidden="1" x14ac:dyDescent="0.25">
      <c r="A139" s="142" t="s">
        <v>874</v>
      </c>
      <c r="B139" s="121" t="s">
        <v>875</v>
      </c>
      <c r="C139" s="121" t="s">
        <v>876</v>
      </c>
      <c r="D139" s="121" t="s">
        <v>49</v>
      </c>
      <c r="E139" s="121" t="s">
        <v>50</v>
      </c>
      <c r="F139" s="121" t="s">
        <v>51</v>
      </c>
      <c r="G139" s="121" t="s">
        <v>143</v>
      </c>
      <c r="H139" s="121"/>
      <c r="I139" s="121" t="s">
        <v>54</v>
      </c>
      <c r="J139" s="121" t="s">
        <v>55</v>
      </c>
      <c r="K139" s="121" t="s">
        <v>56</v>
      </c>
      <c r="L139" s="121" t="s">
        <v>104</v>
      </c>
      <c r="M139" s="121" t="s">
        <v>870</v>
      </c>
      <c r="N139" s="121" t="s">
        <v>39</v>
      </c>
      <c r="O139" s="121" t="s">
        <v>40</v>
      </c>
      <c r="P139" s="121" t="s">
        <v>57</v>
      </c>
      <c r="Q139" s="121" t="s">
        <v>58</v>
      </c>
      <c r="R139" s="124">
        <v>45901</v>
      </c>
      <c r="S139" s="124">
        <v>45940</v>
      </c>
      <c r="T139" s="124">
        <v>45961</v>
      </c>
      <c r="U139" s="121"/>
      <c r="V139" s="121" t="s">
        <v>43</v>
      </c>
      <c r="W139" s="121" t="s">
        <v>877</v>
      </c>
      <c r="X139" s="121" t="s">
        <v>878</v>
      </c>
      <c r="Y139" s="120">
        <v>45929</v>
      </c>
      <c r="Z139" s="120">
        <v>45940</v>
      </c>
      <c r="AA139" s="118" t="s">
        <v>45</v>
      </c>
      <c r="AB139" s="118" t="s">
        <v>74</v>
      </c>
    </row>
    <row r="140" spans="1:29" ht="75" hidden="1" x14ac:dyDescent="0.25">
      <c r="A140" s="142" t="s">
        <v>879</v>
      </c>
      <c r="B140" s="121" t="s">
        <v>880</v>
      </c>
      <c r="C140" s="121" t="s">
        <v>881</v>
      </c>
      <c r="D140" s="121" t="s">
        <v>49</v>
      </c>
      <c r="E140" s="121" t="s">
        <v>50</v>
      </c>
      <c r="F140" s="121" t="s">
        <v>51</v>
      </c>
      <c r="G140" s="121" t="s">
        <v>349</v>
      </c>
      <c r="H140" s="121"/>
      <c r="I140" s="121" t="s">
        <v>54</v>
      </c>
      <c r="J140" s="121" t="s">
        <v>55</v>
      </c>
      <c r="K140" s="121" t="s">
        <v>56</v>
      </c>
      <c r="L140" s="121" t="s">
        <v>104</v>
      </c>
      <c r="M140" s="121" t="s">
        <v>870</v>
      </c>
      <c r="N140" s="121" t="s">
        <v>39</v>
      </c>
      <c r="O140" s="121" t="s">
        <v>40</v>
      </c>
      <c r="P140" s="121" t="s">
        <v>57</v>
      </c>
      <c r="Q140" s="121" t="s">
        <v>58</v>
      </c>
      <c r="R140" s="124">
        <v>45901</v>
      </c>
      <c r="S140" s="124">
        <v>45951</v>
      </c>
      <c r="T140" s="124">
        <v>45961</v>
      </c>
      <c r="U140" s="121"/>
      <c r="V140" s="121" t="s">
        <v>43</v>
      </c>
      <c r="W140" s="121" t="s">
        <v>882</v>
      </c>
      <c r="X140" s="121" t="s">
        <v>883</v>
      </c>
      <c r="Y140" s="120">
        <v>45954</v>
      </c>
      <c r="Z140" s="120">
        <v>45961</v>
      </c>
      <c r="AA140" s="118" t="s">
        <v>45</v>
      </c>
      <c r="AB140" s="118" t="s">
        <v>74</v>
      </c>
    </row>
    <row r="141" spans="1:29" ht="45" hidden="1" x14ac:dyDescent="0.25">
      <c r="A141" s="142" t="s">
        <v>884</v>
      </c>
      <c r="B141" s="121" t="s">
        <v>885</v>
      </c>
      <c r="C141" s="121" t="s">
        <v>886</v>
      </c>
      <c r="D141" s="121" t="s">
        <v>49</v>
      </c>
      <c r="E141" s="121" t="s">
        <v>50</v>
      </c>
      <c r="F141" s="121" t="s">
        <v>51</v>
      </c>
      <c r="G141" s="121" t="s">
        <v>563</v>
      </c>
      <c r="H141" s="121"/>
      <c r="I141" s="121" t="s">
        <v>54</v>
      </c>
      <c r="J141" s="121" t="s">
        <v>55</v>
      </c>
      <c r="K141" s="121" t="s">
        <v>56</v>
      </c>
      <c r="L141" s="121" t="s">
        <v>104</v>
      </c>
      <c r="M141" s="121" t="s">
        <v>870</v>
      </c>
      <c r="N141" s="121" t="s">
        <v>39</v>
      </c>
      <c r="O141" s="121" t="s">
        <v>40</v>
      </c>
      <c r="P141" s="121" t="s">
        <v>57</v>
      </c>
      <c r="Q141" s="121" t="s">
        <v>58</v>
      </c>
      <c r="R141" s="124">
        <v>45962</v>
      </c>
      <c r="S141" s="124">
        <v>45954</v>
      </c>
      <c r="T141" s="124">
        <v>46014</v>
      </c>
      <c r="U141" s="121"/>
      <c r="V141" s="121" t="s">
        <v>43</v>
      </c>
      <c r="W141" s="121" t="s">
        <v>887</v>
      </c>
      <c r="X141" s="121"/>
      <c r="Y141" s="120">
        <v>45954</v>
      </c>
      <c r="Z141" s="120">
        <v>45961</v>
      </c>
      <c r="AA141" s="118" t="s">
        <v>45</v>
      </c>
      <c r="AB141" s="118" t="s">
        <v>74</v>
      </c>
    </row>
    <row r="142" spans="1:29" ht="75" hidden="1" x14ac:dyDescent="0.25">
      <c r="A142" s="142" t="s">
        <v>888</v>
      </c>
      <c r="B142" s="121" t="s">
        <v>889</v>
      </c>
      <c r="C142" s="121"/>
      <c r="D142" s="121" t="s">
        <v>890</v>
      </c>
      <c r="E142" s="121"/>
      <c r="F142" s="121" t="s">
        <v>891</v>
      </c>
      <c r="G142" s="121" t="s">
        <v>143</v>
      </c>
      <c r="H142" s="121" t="s">
        <v>892</v>
      </c>
      <c r="I142" s="121" t="s">
        <v>103</v>
      </c>
      <c r="J142" s="121" t="s">
        <v>55</v>
      </c>
      <c r="K142" s="121" t="s">
        <v>56</v>
      </c>
      <c r="L142" s="121" t="s">
        <v>104</v>
      </c>
      <c r="M142" s="121"/>
      <c r="N142" s="121" t="s">
        <v>39</v>
      </c>
      <c r="O142" s="121"/>
      <c r="P142" s="121" t="s">
        <v>41</v>
      </c>
      <c r="Q142" s="121" t="s">
        <v>58</v>
      </c>
      <c r="R142" s="124">
        <v>45748</v>
      </c>
      <c r="S142" s="124">
        <v>45805</v>
      </c>
      <c r="T142" s="124">
        <v>45805</v>
      </c>
      <c r="U142" s="121"/>
      <c r="V142" s="121" t="s">
        <v>43</v>
      </c>
      <c r="W142" s="121" t="s">
        <v>893</v>
      </c>
      <c r="X142" s="121"/>
      <c r="Y142" s="120">
        <v>45805</v>
      </c>
      <c r="AA142" s="118" t="s">
        <v>45</v>
      </c>
      <c r="AB142" s="118" t="s">
        <v>74</v>
      </c>
    </row>
    <row r="143" spans="1:29" ht="45" hidden="1" x14ac:dyDescent="0.25">
      <c r="A143" s="142" t="s">
        <v>894</v>
      </c>
      <c r="B143" s="121" t="s">
        <v>895</v>
      </c>
      <c r="C143" s="121"/>
      <c r="D143" s="121" t="s">
        <v>896</v>
      </c>
      <c r="E143" s="121"/>
      <c r="F143" s="121" t="s">
        <v>891</v>
      </c>
      <c r="G143" s="121" t="s">
        <v>143</v>
      </c>
      <c r="H143" s="121" t="s">
        <v>120</v>
      </c>
      <c r="I143" s="121" t="s">
        <v>103</v>
      </c>
      <c r="J143" s="121" t="s">
        <v>55</v>
      </c>
      <c r="K143" s="121" t="s">
        <v>56</v>
      </c>
      <c r="L143" s="121" t="s">
        <v>104</v>
      </c>
      <c r="M143" s="121"/>
      <c r="N143" s="121" t="s">
        <v>39</v>
      </c>
      <c r="O143" s="121"/>
      <c r="P143" s="121" t="s">
        <v>41</v>
      </c>
      <c r="Q143" s="121" t="s">
        <v>58</v>
      </c>
      <c r="R143" s="124">
        <v>45748</v>
      </c>
      <c r="S143" s="124">
        <v>45805</v>
      </c>
      <c r="T143" s="124">
        <v>45805</v>
      </c>
      <c r="U143" s="121"/>
      <c r="V143" s="121" t="s">
        <v>84</v>
      </c>
      <c r="W143" s="121" t="s">
        <v>897</v>
      </c>
      <c r="X143" s="121"/>
      <c r="Y143" s="120">
        <v>45805</v>
      </c>
      <c r="AA143" s="118" t="s">
        <v>45</v>
      </c>
      <c r="AB143" s="118" t="s">
        <v>74</v>
      </c>
    </row>
    <row r="144" spans="1:29" ht="141" hidden="1" customHeight="1" x14ac:dyDescent="0.25">
      <c r="A144" s="142">
        <v>138</v>
      </c>
      <c r="B144" s="121" t="s">
        <v>898</v>
      </c>
      <c r="C144" s="121" t="s">
        <v>899</v>
      </c>
      <c r="D144" s="121" t="s">
        <v>900</v>
      </c>
      <c r="E144" s="121" t="s">
        <v>901</v>
      </c>
      <c r="F144" s="121"/>
      <c r="G144" s="121" t="s">
        <v>902</v>
      </c>
      <c r="H144" s="121" t="s">
        <v>903</v>
      </c>
      <c r="I144" s="121" t="s">
        <v>82</v>
      </c>
      <c r="J144" s="121" t="s">
        <v>284</v>
      </c>
      <c r="K144" s="121" t="s">
        <v>83</v>
      </c>
      <c r="L144" s="121" t="s">
        <v>104</v>
      </c>
      <c r="M144" s="121"/>
      <c r="N144" s="121"/>
      <c r="O144" s="121"/>
      <c r="P144" s="121" t="s">
        <v>41</v>
      </c>
      <c r="Q144" s="121" t="s">
        <v>58</v>
      </c>
      <c r="R144" s="124">
        <v>45858</v>
      </c>
      <c r="S144" s="124">
        <v>45737</v>
      </c>
      <c r="T144" s="124">
        <v>45869</v>
      </c>
      <c r="U144" s="121"/>
      <c r="V144" s="121" t="s">
        <v>59</v>
      </c>
      <c r="W144" s="121" t="s">
        <v>904</v>
      </c>
      <c r="X144" s="121" t="s">
        <v>905</v>
      </c>
      <c r="Y144" s="120">
        <v>45737</v>
      </c>
      <c r="Z144" s="120">
        <v>45737</v>
      </c>
      <c r="AA144" s="118" t="s">
        <v>45</v>
      </c>
      <c r="AB144" s="118" t="s">
        <v>74</v>
      </c>
    </row>
    <row r="145" spans="1:29" ht="75" hidden="1" x14ac:dyDescent="0.25">
      <c r="A145" s="142" t="s">
        <v>906</v>
      </c>
      <c r="B145" s="121" t="s">
        <v>907</v>
      </c>
      <c r="C145" s="121"/>
      <c r="D145" s="121" t="s">
        <v>907</v>
      </c>
      <c r="E145" s="121"/>
      <c r="F145" s="121" t="s">
        <v>908</v>
      </c>
      <c r="G145" s="121" t="s">
        <v>563</v>
      </c>
      <c r="H145" s="121"/>
      <c r="I145" s="121" t="s">
        <v>103</v>
      </c>
      <c r="J145" s="121" t="s">
        <v>55</v>
      </c>
      <c r="K145" s="121" t="s">
        <v>56</v>
      </c>
      <c r="L145" s="121"/>
      <c r="M145" s="121"/>
      <c r="N145" s="121" t="s">
        <v>39</v>
      </c>
      <c r="O145" s="121"/>
      <c r="P145" s="121" t="s">
        <v>57</v>
      </c>
      <c r="Q145" s="121" t="s">
        <v>58</v>
      </c>
      <c r="R145" s="124">
        <v>45796</v>
      </c>
      <c r="S145" s="124">
        <v>45821</v>
      </c>
      <c r="T145" s="124">
        <v>45821</v>
      </c>
      <c r="U145" s="121"/>
      <c r="V145" s="121" t="s">
        <v>43</v>
      </c>
      <c r="W145" s="121" t="s">
        <v>909</v>
      </c>
      <c r="X145" s="121"/>
      <c r="AA145" s="118" t="s">
        <v>45</v>
      </c>
      <c r="AB145" s="118" t="s">
        <v>74</v>
      </c>
    </row>
    <row r="146" spans="1:29" ht="30" hidden="1" x14ac:dyDescent="0.25">
      <c r="A146" s="142">
        <v>140</v>
      </c>
      <c r="B146" s="121" t="s">
        <v>910</v>
      </c>
      <c r="C146" s="121"/>
      <c r="D146" s="121" t="s">
        <v>911</v>
      </c>
      <c r="E146" s="121" t="s">
        <v>912</v>
      </c>
      <c r="F146" s="121" t="s">
        <v>913</v>
      </c>
      <c r="G146" s="121" t="s">
        <v>495</v>
      </c>
      <c r="H146" s="121"/>
      <c r="I146" s="121" t="s">
        <v>69</v>
      </c>
      <c r="J146" s="121" t="s">
        <v>70</v>
      </c>
      <c r="K146" s="121" t="s">
        <v>83</v>
      </c>
      <c r="L146" s="121"/>
      <c r="M146" s="121"/>
      <c r="N146" s="121" t="s">
        <v>39</v>
      </c>
      <c r="O146" s="121" t="s">
        <v>40</v>
      </c>
      <c r="P146" s="121" t="s">
        <v>41</v>
      </c>
      <c r="Q146" s="121" t="s">
        <v>58</v>
      </c>
      <c r="R146" s="124">
        <v>45660</v>
      </c>
      <c r="S146" s="124">
        <v>45716</v>
      </c>
      <c r="T146" s="124">
        <v>45716</v>
      </c>
      <c r="U146" s="121"/>
      <c r="V146" s="121" t="s">
        <v>59</v>
      </c>
      <c r="W146" s="121" t="s">
        <v>914</v>
      </c>
      <c r="X146" s="121" t="s">
        <v>915</v>
      </c>
      <c r="Y146" s="120">
        <v>45716</v>
      </c>
      <c r="Z146" s="120">
        <v>45695</v>
      </c>
      <c r="AA146" s="118" t="s">
        <v>45</v>
      </c>
      <c r="AB146" s="118" t="s">
        <v>74</v>
      </c>
    </row>
    <row r="147" spans="1:29" ht="90" hidden="1" x14ac:dyDescent="0.25">
      <c r="A147" s="142" t="s">
        <v>916</v>
      </c>
      <c r="B147" s="121" t="s">
        <v>917</v>
      </c>
      <c r="C147" s="121"/>
      <c r="D147" s="121" t="s">
        <v>918</v>
      </c>
      <c r="E147" s="121"/>
      <c r="F147" s="121"/>
      <c r="G147" s="121" t="s">
        <v>264</v>
      </c>
      <c r="H147" s="121" t="s">
        <v>465</v>
      </c>
      <c r="I147" s="121" t="s">
        <v>69</v>
      </c>
      <c r="J147" s="121" t="s">
        <v>144</v>
      </c>
      <c r="K147" s="121" t="s">
        <v>56</v>
      </c>
      <c r="L147" s="121"/>
      <c r="M147" s="121"/>
      <c r="N147" s="121" t="s">
        <v>39</v>
      </c>
      <c r="O147" s="121" t="s">
        <v>40</v>
      </c>
      <c r="P147" s="121" t="s">
        <v>105</v>
      </c>
      <c r="Q147" s="121" t="s">
        <v>58</v>
      </c>
      <c r="R147" s="124">
        <v>45681</v>
      </c>
      <c r="S147" s="124">
        <v>45753</v>
      </c>
      <c r="T147" s="124">
        <v>45753</v>
      </c>
      <c r="U147" s="121"/>
      <c r="V147" s="121" t="s">
        <v>43</v>
      </c>
      <c r="W147" s="121" t="s">
        <v>919</v>
      </c>
      <c r="X147" s="121"/>
      <c r="Y147" s="120">
        <v>45751</v>
      </c>
      <c r="Z147" s="120">
        <v>45751</v>
      </c>
      <c r="AA147" s="118" t="s">
        <v>45</v>
      </c>
      <c r="AB147" s="118" t="s">
        <v>74</v>
      </c>
    </row>
    <row r="148" spans="1:29" ht="45" hidden="1" x14ac:dyDescent="0.25">
      <c r="A148" s="142" t="s">
        <v>920</v>
      </c>
      <c r="B148" s="121" t="s">
        <v>921</v>
      </c>
      <c r="C148" s="121" t="s">
        <v>881</v>
      </c>
      <c r="D148" s="121" t="s">
        <v>49</v>
      </c>
      <c r="E148" s="121" t="s">
        <v>50</v>
      </c>
      <c r="F148" s="121" t="s">
        <v>51</v>
      </c>
      <c r="G148" s="121" t="s">
        <v>143</v>
      </c>
      <c r="H148" s="121" t="s">
        <v>349</v>
      </c>
      <c r="I148" s="121" t="s">
        <v>54</v>
      </c>
      <c r="J148" s="121" t="s">
        <v>55</v>
      </c>
      <c r="K148" s="121" t="s">
        <v>56</v>
      </c>
      <c r="L148" s="121"/>
      <c r="M148" s="121"/>
      <c r="N148" s="121" t="s">
        <v>39</v>
      </c>
      <c r="O148" s="121" t="s">
        <v>40</v>
      </c>
      <c r="P148" s="121" t="s">
        <v>57</v>
      </c>
      <c r="Q148" s="121" t="s">
        <v>58</v>
      </c>
      <c r="R148" s="124">
        <v>45712</v>
      </c>
      <c r="S148" s="124">
        <v>45721</v>
      </c>
      <c r="T148" s="124">
        <v>45716</v>
      </c>
      <c r="U148" s="121"/>
      <c r="V148" s="121" t="s">
        <v>43</v>
      </c>
      <c r="W148" s="121"/>
      <c r="X148" s="121" t="s">
        <v>922</v>
      </c>
      <c r="Y148" s="120">
        <v>45716</v>
      </c>
      <c r="Z148" s="120">
        <v>45723</v>
      </c>
      <c r="AA148" s="118" t="s">
        <v>45</v>
      </c>
      <c r="AB148" s="118" t="s">
        <v>62</v>
      </c>
    </row>
    <row r="149" spans="1:29" ht="60" hidden="1" x14ac:dyDescent="0.25">
      <c r="A149" s="142">
        <v>141</v>
      </c>
      <c r="B149" s="121" t="s">
        <v>923</v>
      </c>
      <c r="C149" s="121"/>
      <c r="D149" s="121" t="s">
        <v>924</v>
      </c>
      <c r="E149" s="121" t="s">
        <v>925</v>
      </c>
      <c r="F149" s="121" t="s">
        <v>91</v>
      </c>
      <c r="G149" s="121" t="s">
        <v>465</v>
      </c>
      <c r="H149" s="121"/>
      <c r="I149" s="121" t="s">
        <v>185</v>
      </c>
      <c r="J149" s="121" t="s">
        <v>144</v>
      </c>
      <c r="K149" s="121" t="s">
        <v>83</v>
      </c>
      <c r="L149" s="121"/>
      <c r="M149" s="121"/>
      <c r="N149" s="121" t="s">
        <v>39</v>
      </c>
      <c r="O149" s="121" t="s">
        <v>40</v>
      </c>
      <c r="P149" s="121" t="s">
        <v>105</v>
      </c>
      <c r="Q149" s="121" t="s">
        <v>58</v>
      </c>
      <c r="R149" s="124"/>
      <c r="S149" s="124">
        <v>45751</v>
      </c>
      <c r="T149" s="124">
        <v>45808</v>
      </c>
      <c r="U149" s="121"/>
      <c r="V149" s="121" t="s">
        <v>96</v>
      </c>
      <c r="W149" s="121" t="s">
        <v>926</v>
      </c>
      <c r="X149" s="121"/>
      <c r="Y149" s="120">
        <v>45751</v>
      </c>
      <c r="Z149" s="120">
        <v>45751</v>
      </c>
      <c r="AA149" s="118" t="s">
        <v>45</v>
      </c>
      <c r="AB149" s="118" t="s">
        <v>514</v>
      </c>
    </row>
    <row r="150" spans="1:29" ht="60" hidden="1" x14ac:dyDescent="0.25">
      <c r="A150" s="142">
        <v>142</v>
      </c>
      <c r="B150" s="121" t="s">
        <v>927</v>
      </c>
      <c r="C150" s="121"/>
      <c r="D150" s="121" t="s">
        <v>928</v>
      </c>
      <c r="E150" s="121" t="s">
        <v>929</v>
      </c>
      <c r="F150" s="121" t="s">
        <v>930</v>
      </c>
      <c r="G150" s="121" t="s">
        <v>323</v>
      </c>
      <c r="H150" s="121" t="s">
        <v>723</v>
      </c>
      <c r="I150" s="121" t="s">
        <v>69</v>
      </c>
      <c r="J150" s="121" t="s">
        <v>200</v>
      </c>
      <c r="K150" s="121" t="s">
        <v>37</v>
      </c>
      <c r="L150" s="121" t="s">
        <v>104</v>
      </c>
      <c r="M150" s="121"/>
      <c r="N150" s="121" t="s">
        <v>39</v>
      </c>
      <c r="O150" s="121" t="s">
        <v>40</v>
      </c>
      <c r="P150" s="121" t="s">
        <v>105</v>
      </c>
      <c r="Q150" s="121" t="s">
        <v>57</v>
      </c>
      <c r="R150" s="124">
        <v>45698</v>
      </c>
      <c r="S150" s="124">
        <v>45751</v>
      </c>
      <c r="T150" s="124">
        <v>45737</v>
      </c>
      <c r="U150" s="121"/>
      <c r="V150" s="121" t="s">
        <v>43</v>
      </c>
      <c r="W150" s="121" t="s">
        <v>931</v>
      </c>
      <c r="X150" s="121" t="s">
        <v>932</v>
      </c>
      <c r="Y150" s="120">
        <v>45730</v>
      </c>
      <c r="Z150" s="120">
        <v>45737</v>
      </c>
      <c r="AA150" s="118" t="s">
        <v>45</v>
      </c>
      <c r="AB150" s="118" t="s">
        <v>74</v>
      </c>
    </row>
    <row r="151" spans="1:29" ht="45" hidden="1" x14ac:dyDescent="0.25">
      <c r="A151" s="142" t="s">
        <v>933</v>
      </c>
      <c r="B151" s="121" t="s">
        <v>934</v>
      </c>
      <c r="C151" s="121"/>
      <c r="D151" s="121" t="s">
        <v>581</v>
      </c>
      <c r="E151" s="121"/>
      <c r="F151" s="121" t="s">
        <v>583</v>
      </c>
      <c r="G151" s="121" t="s">
        <v>349</v>
      </c>
      <c r="H151" s="121"/>
      <c r="I151" s="121" t="s">
        <v>584</v>
      </c>
      <c r="J151" s="121" t="s">
        <v>55</v>
      </c>
      <c r="K151" s="121" t="s">
        <v>56</v>
      </c>
      <c r="L151" s="121"/>
      <c r="M151" s="121" t="s">
        <v>763</v>
      </c>
      <c r="N151" s="121" t="s">
        <v>39</v>
      </c>
      <c r="O151" s="121"/>
      <c r="P151" s="121" t="s">
        <v>57</v>
      </c>
      <c r="Q151" s="121" t="s">
        <v>58</v>
      </c>
      <c r="R151" s="124">
        <v>45985</v>
      </c>
      <c r="S151" s="124">
        <v>46001</v>
      </c>
      <c r="T151" s="124">
        <v>45994</v>
      </c>
      <c r="U151" s="121"/>
      <c r="V151" s="121" t="s">
        <v>43</v>
      </c>
      <c r="W151" s="121" t="s">
        <v>935</v>
      </c>
      <c r="X151" s="121" t="s">
        <v>936</v>
      </c>
      <c r="Y151" s="120">
        <v>45989</v>
      </c>
      <c r="Z151" s="120">
        <v>46001</v>
      </c>
      <c r="AA151" s="118" t="s">
        <v>45</v>
      </c>
      <c r="AB151" s="118" t="s">
        <v>74</v>
      </c>
    </row>
    <row r="152" spans="1:29" ht="270" hidden="1" x14ac:dyDescent="0.25">
      <c r="A152" s="142" t="s">
        <v>937</v>
      </c>
      <c r="B152" s="121" t="s">
        <v>446</v>
      </c>
      <c r="C152" s="121" t="s">
        <v>938</v>
      </c>
      <c r="D152" s="121" t="s">
        <v>939</v>
      </c>
      <c r="E152" s="121" t="s">
        <v>940</v>
      </c>
      <c r="F152" s="121" t="s">
        <v>941</v>
      </c>
      <c r="G152" s="121" t="s">
        <v>67</v>
      </c>
      <c r="H152" s="121" t="s">
        <v>282</v>
      </c>
      <c r="I152" s="121" t="s">
        <v>69</v>
      </c>
      <c r="J152" s="121" t="s">
        <v>70</v>
      </c>
      <c r="K152" s="121" t="s">
        <v>37</v>
      </c>
      <c r="L152" s="121" t="s">
        <v>104</v>
      </c>
      <c r="M152" s="121" t="s">
        <v>72</v>
      </c>
      <c r="N152" s="121" t="s">
        <v>39</v>
      </c>
      <c r="O152" s="121" t="s">
        <v>40</v>
      </c>
      <c r="P152" s="121" t="s">
        <v>41</v>
      </c>
      <c r="Q152" s="121" t="s">
        <v>57</v>
      </c>
      <c r="R152" s="124">
        <v>45982</v>
      </c>
      <c r="S152" s="124"/>
      <c r="T152" s="124"/>
      <c r="U152" s="121"/>
      <c r="V152" s="121" t="s">
        <v>96</v>
      </c>
      <c r="W152" s="121"/>
      <c r="X152" s="121"/>
      <c r="Y152" s="120">
        <v>45954</v>
      </c>
      <c r="AA152" s="118" t="s">
        <v>288</v>
      </c>
      <c r="AB152" s="118" t="s">
        <v>483</v>
      </c>
    </row>
    <row r="153" spans="1:29" ht="60" hidden="1" x14ac:dyDescent="0.25">
      <c r="A153" s="142" t="s">
        <v>942</v>
      </c>
      <c r="B153" s="121" t="s">
        <v>943</v>
      </c>
      <c r="C153" s="121"/>
      <c r="D153" s="121" t="s">
        <v>348</v>
      </c>
      <c r="E153" s="121"/>
      <c r="F153" s="121"/>
      <c r="G153" s="121" t="s">
        <v>349</v>
      </c>
      <c r="H153" s="121"/>
      <c r="I153" s="121" t="s">
        <v>103</v>
      </c>
      <c r="J153" s="121" t="s">
        <v>55</v>
      </c>
      <c r="K153" s="121" t="s">
        <v>56</v>
      </c>
      <c r="L153" s="121"/>
      <c r="M153" s="121" t="s">
        <v>763</v>
      </c>
      <c r="N153" s="121" t="s">
        <v>39</v>
      </c>
      <c r="O153" s="121"/>
      <c r="P153" s="121" t="s">
        <v>57</v>
      </c>
      <c r="Q153" s="121" t="s">
        <v>58</v>
      </c>
      <c r="R153" s="124">
        <v>45979</v>
      </c>
      <c r="S153" s="124">
        <v>45989</v>
      </c>
      <c r="T153" s="124">
        <v>45989</v>
      </c>
      <c r="U153" s="121"/>
      <c r="V153" s="121" t="s">
        <v>43</v>
      </c>
      <c r="W153" s="121" t="s">
        <v>944</v>
      </c>
      <c r="X153" s="121" t="s">
        <v>945</v>
      </c>
      <c r="Y153" s="120">
        <v>45988</v>
      </c>
      <c r="Z153" s="120">
        <v>45989</v>
      </c>
      <c r="AA153" s="118" t="s">
        <v>45</v>
      </c>
      <c r="AB153" s="118" t="s">
        <v>62</v>
      </c>
    </row>
    <row r="154" spans="1:29" ht="75" hidden="1" x14ac:dyDescent="0.25">
      <c r="A154" s="142" t="s">
        <v>946</v>
      </c>
      <c r="B154" s="121" t="s">
        <v>761</v>
      </c>
      <c r="C154" s="121"/>
      <c r="D154" s="121" t="s">
        <v>947</v>
      </c>
      <c r="E154" s="121"/>
      <c r="F154" s="121" t="s">
        <v>583</v>
      </c>
      <c r="G154" s="121" t="s">
        <v>349</v>
      </c>
      <c r="H154" s="121" t="s">
        <v>563</v>
      </c>
      <c r="I154" s="121" t="s">
        <v>584</v>
      </c>
      <c r="J154" s="121" t="s">
        <v>55</v>
      </c>
      <c r="K154" s="121" t="s">
        <v>56</v>
      </c>
      <c r="L154" s="121"/>
      <c r="M154" s="121" t="s">
        <v>763</v>
      </c>
      <c r="N154" s="121" t="s">
        <v>39</v>
      </c>
      <c r="O154" s="121"/>
      <c r="P154" s="121" t="s">
        <v>57</v>
      </c>
      <c r="Q154" s="121" t="s">
        <v>58</v>
      </c>
      <c r="R154" s="124">
        <v>45809</v>
      </c>
      <c r="S154" s="124">
        <v>45882</v>
      </c>
      <c r="T154" s="124">
        <v>45882</v>
      </c>
      <c r="U154" s="121"/>
      <c r="V154" s="121" t="s">
        <v>43</v>
      </c>
      <c r="W154" s="121" t="s">
        <v>948</v>
      </c>
      <c r="X154" s="121"/>
      <c r="Y154" s="120">
        <v>45881</v>
      </c>
      <c r="AA154" s="118" t="s">
        <v>45</v>
      </c>
      <c r="AB154" s="118" t="s">
        <v>74</v>
      </c>
    </row>
    <row r="155" spans="1:29" ht="45" hidden="1" x14ac:dyDescent="0.25">
      <c r="A155" s="142" t="s">
        <v>949</v>
      </c>
      <c r="B155" s="121" t="s">
        <v>950</v>
      </c>
      <c r="C155" s="121"/>
      <c r="D155" s="121" t="s">
        <v>728</v>
      </c>
      <c r="E155" s="121"/>
      <c r="F155" s="121" t="s">
        <v>583</v>
      </c>
      <c r="G155" s="121" t="s">
        <v>52</v>
      </c>
      <c r="H155" s="121" t="s">
        <v>951</v>
      </c>
      <c r="I155" s="121" t="s">
        <v>584</v>
      </c>
      <c r="J155" s="121" t="s">
        <v>55</v>
      </c>
      <c r="K155" s="121" t="s">
        <v>56</v>
      </c>
      <c r="L155" s="121"/>
      <c r="M155" s="121" t="s">
        <v>763</v>
      </c>
      <c r="N155" s="121" t="s">
        <v>39</v>
      </c>
      <c r="O155" s="121"/>
      <c r="P155" s="121" t="s">
        <v>57</v>
      </c>
      <c r="Q155" s="121" t="s">
        <v>57</v>
      </c>
      <c r="R155" s="124">
        <v>45872</v>
      </c>
      <c r="S155" s="124">
        <v>45904</v>
      </c>
      <c r="T155" s="124">
        <v>45905</v>
      </c>
      <c r="U155" s="121"/>
      <c r="V155" s="121" t="s">
        <v>43</v>
      </c>
      <c r="W155" s="121" t="s">
        <v>952</v>
      </c>
      <c r="X155" s="121" t="s">
        <v>953</v>
      </c>
      <c r="Y155" s="120">
        <v>45901</v>
      </c>
      <c r="Z155" s="120">
        <v>45905</v>
      </c>
      <c r="AA155" s="118" t="s">
        <v>45</v>
      </c>
      <c r="AB155" s="118" t="s">
        <v>74</v>
      </c>
    </row>
    <row r="156" spans="1:29" ht="59.45" hidden="1" customHeight="1" x14ac:dyDescent="0.25">
      <c r="A156" s="142" t="s">
        <v>954</v>
      </c>
      <c r="B156" s="121" t="s">
        <v>621</v>
      </c>
      <c r="C156" s="121"/>
      <c r="D156" s="121" t="s">
        <v>622</v>
      </c>
      <c r="E156" s="121"/>
      <c r="F156" s="121" t="s">
        <v>624</v>
      </c>
      <c r="G156" s="121" t="s">
        <v>143</v>
      </c>
      <c r="H156" s="121"/>
      <c r="I156" s="121" t="s">
        <v>54</v>
      </c>
      <c r="J156" s="121" t="s">
        <v>55</v>
      </c>
      <c r="K156" s="121" t="s">
        <v>56</v>
      </c>
      <c r="L156" s="121" t="s">
        <v>537</v>
      </c>
      <c r="M156" s="121" t="s">
        <v>855</v>
      </c>
      <c r="N156" s="121" t="s">
        <v>39</v>
      </c>
      <c r="O156" s="121"/>
      <c r="P156" s="121" t="s">
        <v>41</v>
      </c>
      <c r="Q156" s="121" t="s">
        <v>57</v>
      </c>
      <c r="R156" s="124">
        <v>45931</v>
      </c>
      <c r="S156" s="124">
        <v>45940</v>
      </c>
      <c r="T156" s="124">
        <v>45960</v>
      </c>
      <c r="U156" s="121"/>
      <c r="V156" s="121" t="s">
        <v>84</v>
      </c>
      <c r="W156" s="121"/>
      <c r="X156" s="121" t="s">
        <v>955</v>
      </c>
      <c r="Y156" s="120">
        <v>45933</v>
      </c>
      <c r="Z156" s="120">
        <v>45947</v>
      </c>
      <c r="AA156" s="118" t="s">
        <v>45</v>
      </c>
      <c r="AB156" s="118" t="s">
        <v>74</v>
      </c>
    </row>
    <row r="157" spans="1:29" ht="180" hidden="1" x14ac:dyDescent="0.25">
      <c r="A157" s="142" t="s">
        <v>956</v>
      </c>
      <c r="B157" s="121" t="s">
        <v>587</v>
      </c>
      <c r="C157" s="121"/>
      <c r="D157" s="121" t="s">
        <v>588</v>
      </c>
      <c r="E157" s="121"/>
      <c r="F157" s="121" t="s">
        <v>101</v>
      </c>
      <c r="G157" s="121" t="s">
        <v>143</v>
      </c>
      <c r="H157" s="121"/>
      <c r="I157" s="121" t="s">
        <v>103</v>
      </c>
      <c r="J157" s="121" t="s">
        <v>55</v>
      </c>
      <c r="K157" s="121" t="s">
        <v>56</v>
      </c>
      <c r="L157" s="121" t="s">
        <v>537</v>
      </c>
      <c r="M157" s="121" t="s">
        <v>763</v>
      </c>
      <c r="N157" s="121" t="s">
        <v>39</v>
      </c>
      <c r="O157" s="121"/>
      <c r="P157" s="121" t="s">
        <v>41</v>
      </c>
      <c r="Q157" s="121" t="s">
        <v>57</v>
      </c>
      <c r="R157" s="124">
        <v>45901</v>
      </c>
      <c r="S157" s="124">
        <v>45940</v>
      </c>
      <c r="T157" s="124">
        <v>45960</v>
      </c>
      <c r="U157" s="121"/>
      <c r="V157" s="121" t="s">
        <v>43</v>
      </c>
      <c r="W157" s="121" t="s">
        <v>957</v>
      </c>
      <c r="X157" s="121" t="s">
        <v>958</v>
      </c>
      <c r="Y157" s="120">
        <v>45929</v>
      </c>
      <c r="Z157" s="120">
        <v>45940</v>
      </c>
      <c r="AA157" s="118" t="s">
        <v>45</v>
      </c>
      <c r="AB157" s="118" t="s">
        <v>74</v>
      </c>
    </row>
    <row r="158" spans="1:29" ht="60" hidden="1" x14ac:dyDescent="0.25">
      <c r="A158" s="142">
        <v>150</v>
      </c>
      <c r="B158" s="121" t="s">
        <v>959</v>
      </c>
      <c r="C158" s="121" t="s">
        <v>960</v>
      </c>
      <c r="D158" s="121" t="s">
        <v>961</v>
      </c>
      <c r="E158" s="121" t="s">
        <v>962</v>
      </c>
      <c r="F158" s="121" t="s">
        <v>111</v>
      </c>
      <c r="G158" s="121" t="s">
        <v>495</v>
      </c>
      <c r="H158" s="121" t="s">
        <v>963</v>
      </c>
      <c r="I158" s="121" t="s">
        <v>69</v>
      </c>
      <c r="J158" s="121" t="s">
        <v>70</v>
      </c>
      <c r="K158" s="121" t="s">
        <v>83</v>
      </c>
      <c r="L158" s="121" t="s">
        <v>537</v>
      </c>
      <c r="M158" s="121"/>
      <c r="N158" s="121" t="s">
        <v>39</v>
      </c>
      <c r="O158" s="121" t="s">
        <v>40</v>
      </c>
      <c r="P158" s="121" t="s">
        <v>41</v>
      </c>
      <c r="Q158" s="121" t="s">
        <v>58</v>
      </c>
      <c r="R158" s="124">
        <v>45734</v>
      </c>
      <c r="S158" s="124">
        <v>45764</v>
      </c>
      <c r="T158" s="124">
        <v>45772</v>
      </c>
      <c r="U158" s="121"/>
      <c r="V158" s="121" t="s">
        <v>96</v>
      </c>
      <c r="W158" s="121" t="s">
        <v>964</v>
      </c>
      <c r="X158" s="121" t="s">
        <v>965</v>
      </c>
      <c r="Y158" s="120">
        <v>45744</v>
      </c>
      <c r="AA158" s="118" t="s">
        <v>45</v>
      </c>
      <c r="AB158" s="118" t="s">
        <v>74</v>
      </c>
    </row>
    <row r="159" spans="1:29" ht="150" hidden="1" x14ac:dyDescent="0.25">
      <c r="A159" s="142" t="s">
        <v>966</v>
      </c>
      <c r="B159" s="121" t="s">
        <v>967</v>
      </c>
      <c r="C159" s="121" t="s">
        <v>968</v>
      </c>
      <c r="D159" s="121" t="s">
        <v>969</v>
      </c>
      <c r="E159" s="121" t="s">
        <v>970</v>
      </c>
      <c r="F159" s="121" t="s">
        <v>814</v>
      </c>
      <c r="G159" s="121" t="s">
        <v>120</v>
      </c>
      <c r="H159" s="121" t="s">
        <v>448</v>
      </c>
      <c r="I159" s="121" t="s">
        <v>54</v>
      </c>
      <c r="J159" s="121" t="s">
        <v>70</v>
      </c>
      <c r="K159" s="121" t="s">
        <v>83</v>
      </c>
      <c r="L159" s="121" t="s">
        <v>724</v>
      </c>
      <c r="M159" s="121"/>
      <c r="N159" s="121" t="s">
        <v>39</v>
      </c>
      <c r="O159" s="121" t="s">
        <v>39</v>
      </c>
      <c r="P159" s="121" t="s">
        <v>41</v>
      </c>
      <c r="Q159" s="121" t="s">
        <v>57</v>
      </c>
      <c r="R159" s="124">
        <v>45733</v>
      </c>
      <c r="S159" s="124">
        <v>45757</v>
      </c>
      <c r="T159" s="124">
        <v>45757</v>
      </c>
      <c r="U159" s="121"/>
      <c r="V159" s="121" t="s">
        <v>84</v>
      </c>
      <c r="W159" s="121" t="s">
        <v>971</v>
      </c>
      <c r="X159" s="121" t="s">
        <v>972</v>
      </c>
      <c r="Y159" s="120">
        <v>45757</v>
      </c>
      <c r="Z159" s="120">
        <v>45758</v>
      </c>
      <c r="AA159" s="118" t="s">
        <v>45</v>
      </c>
      <c r="AB159" s="118" t="s">
        <v>74</v>
      </c>
      <c r="AC159" s="122">
        <v>1</v>
      </c>
    </row>
    <row r="160" spans="1:29" ht="195" hidden="1" x14ac:dyDescent="0.25">
      <c r="A160" s="142" t="s">
        <v>973</v>
      </c>
      <c r="B160" s="121" t="s">
        <v>967</v>
      </c>
      <c r="C160" s="121" t="s">
        <v>974</v>
      </c>
      <c r="D160" s="121" t="s">
        <v>969</v>
      </c>
      <c r="E160" s="121" t="s">
        <v>970</v>
      </c>
      <c r="F160" s="121" t="s">
        <v>814</v>
      </c>
      <c r="G160" s="121" t="s">
        <v>120</v>
      </c>
      <c r="H160" s="121" t="s">
        <v>67</v>
      </c>
      <c r="I160" s="121" t="s">
        <v>69</v>
      </c>
      <c r="J160" s="121" t="s">
        <v>70</v>
      </c>
      <c r="K160" s="121" t="s">
        <v>83</v>
      </c>
      <c r="L160" s="121" t="s">
        <v>537</v>
      </c>
      <c r="M160" s="121" t="s">
        <v>72</v>
      </c>
      <c r="N160" s="121" t="s">
        <v>39</v>
      </c>
      <c r="O160" s="121" t="s">
        <v>39</v>
      </c>
      <c r="P160" s="121" t="s">
        <v>41</v>
      </c>
      <c r="Q160" s="121" t="s">
        <v>57</v>
      </c>
      <c r="R160" s="124">
        <v>45771</v>
      </c>
      <c r="S160" s="124">
        <v>45877</v>
      </c>
      <c r="T160" s="124">
        <v>45877</v>
      </c>
      <c r="U160" s="121"/>
      <c r="V160" s="121" t="s">
        <v>84</v>
      </c>
      <c r="W160" s="121" t="s">
        <v>975</v>
      </c>
      <c r="X160" s="121"/>
      <c r="Y160" s="120">
        <v>45876</v>
      </c>
      <c r="AA160" s="118" t="s">
        <v>45</v>
      </c>
      <c r="AB160" s="118" t="s">
        <v>74</v>
      </c>
    </row>
    <row r="161" spans="1:28" ht="90" hidden="1" x14ac:dyDescent="0.25">
      <c r="A161" s="142" t="s">
        <v>976</v>
      </c>
      <c r="B161" s="121" t="s">
        <v>967</v>
      </c>
      <c r="C161" s="121" t="s">
        <v>977</v>
      </c>
      <c r="D161" s="121" t="s">
        <v>978</v>
      </c>
      <c r="E161" s="121" t="s">
        <v>979</v>
      </c>
      <c r="F161" s="121" t="s">
        <v>814</v>
      </c>
      <c r="G161" s="121" t="s">
        <v>67</v>
      </c>
      <c r="H161" s="121" t="s">
        <v>120</v>
      </c>
      <c r="I161" s="121" t="s">
        <v>54</v>
      </c>
      <c r="J161" s="121" t="s">
        <v>70</v>
      </c>
      <c r="K161" s="121" t="s">
        <v>83</v>
      </c>
      <c r="L161" s="121" t="s">
        <v>224</v>
      </c>
      <c r="M161" s="121" t="s">
        <v>72</v>
      </c>
      <c r="N161" s="121" t="s">
        <v>39</v>
      </c>
      <c r="O161" s="121" t="s">
        <v>40</v>
      </c>
      <c r="P161" s="121" t="s">
        <v>105</v>
      </c>
      <c r="Q161" s="121" t="s">
        <v>57</v>
      </c>
      <c r="R161" s="124">
        <v>45842</v>
      </c>
      <c r="S161" s="124">
        <v>45940</v>
      </c>
      <c r="T161" s="124"/>
      <c r="U161" s="121"/>
      <c r="V161" s="121" t="s">
        <v>84</v>
      </c>
      <c r="W161" s="121" t="s">
        <v>980</v>
      </c>
      <c r="X161" s="121"/>
      <c r="Y161" s="120">
        <v>45933</v>
      </c>
      <c r="Z161" s="120">
        <v>45940</v>
      </c>
      <c r="AA161" s="118" t="s">
        <v>45</v>
      </c>
      <c r="AB161" s="118" t="s">
        <v>74</v>
      </c>
    </row>
    <row r="162" spans="1:28" ht="90" hidden="1" x14ac:dyDescent="0.25">
      <c r="A162" s="142">
        <v>154</v>
      </c>
      <c r="B162" s="121" t="s">
        <v>981</v>
      </c>
      <c r="C162" s="121" t="s">
        <v>982</v>
      </c>
      <c r="D162" s="121"/>
      <c r="E162" s="121"/>
      <c r="F162" s="121" t="s">
        <v>119</v>
      </c>
      <c r="G162" s="121" t="s">
        <v>323</v>
      </c>
      <c r="H162" s="121" t="s">
        <v>983</v>
      </c>
      <c r="I162" s="121" t="s">
        <v>94</v>
      </c>
      <c r="J162" s="121" t="s">
        <v>284</v>
      </c>
      <c r="K162" s="121" t="s">
        <v>83</v>
      </c>
      <c r="L162" s="121"/>
      <c r="M162" s="121" t="s">
        <v>266</v>
      </c>
      <c r="N162" s="121" t="s">
        <v>39</v>
      </c>
      <c r="O162" s="121" t="s">
        <v>39</v>
      </c>
      <c r="P162" s="121" t="s">
        <v>300</v>
      </c>
      <c r="Q162" s="121" t="s">
        <v>58</v>
      </c>
      <c r="R162" s="124">
        <v>45757</v>
      </c>
      <c r="S162" s="124">
        <v>45961</v>
      </c>
      <c r="T162" s="124">
        <v>46014</v>
      </c>
      <c r="U162" s="121"/>
      <c r="V162" s="121" t="s">
        <v>96</v>
      </c>
      <c r="W162" s="121" t="s">
        <v>984</v>
      </c>
      <c r="X162" s="121" t="s">
        <v>985</v>
      </c>
      <c r="Y162" s="120">
        <v>45961</v>
      </c>
      <c r="Z162" s="120">
        <v>45961</v>
      </c>
      <c r="AA162" s="118" t="s">
        <v>45</v>
      </c>
      <c r="AB162" s="118" t="s">
        <v>74</v>
      </c>
    </row>
    <row r="163" spans="1:28" ht="75" hidden="1" x14ac:dyDescent="0.25">
      <c r="A163" s="142" t="s">
        <v>986</v>
      </c>
      <c r="B163" s="121" t="s">
        <v>987</v>
      </c>
      <c r="C163" s="121" t="s">
        <v>252</v>
      </c>
      <c r="D163" s="121" t="s">
        <v>253</v>
      </c>
      <c r="E163" s="121"/>
      <c r="F163" s="121" t="s">
        <v>254</v>
      </c>
      <c r="G163" s="121" t="s">
        <v>143</v>
      </c>
      <c r="H163" s="121"/>
      <c r="I163" s="121" t="s">
        <v>82</v>
      </c>
      <c r="J163" s="121" t="s">
        <v>55</v>
      </c>
      <c r="K163" s="121" t="s">
        <v>56</v>
      </c>
      <c r="L163" s="121"/>
      <c r="M163" s="121" t="s">
        <v>870</v>
      </c>
      <c r="N163" s="121" t="s">
        <v>39</v>
      </c>
      <c r="O163" s="121" t="s">
        <v>39</v>
      </c>
      <c r="P163" s="121" t="s">
        <v>57</v>
      </c>
      <c r="Q163" s="121" t="s">
        <v>57</v>
      </c>
      <c r="R163" s="124">
        <v>45971</v>
      </c>
      <c r="S163" s="124"/>
      <c r="T163" s="124">
        <v>46031</v>
      </c>
      <c r="U163" s="121"/>
      <c r="V163" s="121" t="s">
        <v>43</v>
      </c>
      <c r="W163" s="121" t="s">
        <v>988</v>
      </c>
      <c r="X163" s="121"/>
      <c r="AA163" s="118" t="s">
        <v>45</v>
      </c>
      <c r="AB163" s="118" t="s">
        <v>62</v>
      </c>
    </row>
    <row r="164" spans="1:28" ht="75" hidden="1" x14ac:dyDescent="0.25">
      <c r="A164" s="142">
        <v>155</v>
      </c>
      <c r="B164" s="121" t="s">
        <v>989</v>
      </c>
      <c r="C164" s="121" t="s">
        <v>990</v>
      </c>
      <c r="D164" s="121" t="s">
        <v>990</v>
      </c>
      <c r="E164" s="121" t="s">
        <v>991</v>
      </c>
      <c r="F164" s="121" t="s">
        <v>788</v>
      </c>
      <c r="G164" s="121" t="s">
        <v>143</v>
      </c>
      <c r="H164" s="121" t="s">
        <v>992</v>
      </c>
      <c r="I164" s="121" t="s">
        <v>299</v>
      </c>
      <c r="J164" s="121" t="s">
        <v>55</v>
      </c>
      <c r="K164" s="121" t="s">
        <v>56</v>
      </c>
      <c r="L164" s="121"/>
      <c r="M164" s="121" t="s">
        <v>266</v>
      </c>
      <c r="N164" s="121" t="s">
        <v>39</v>
      </c>
      <c r="O164" s="121" t="s">
        <v>39</v>
      </c>
      <c r="P164" s="121" t="s">
        <v>57</v>
      </c>
      <c r="Q164" s="121" t="s">
        <v>57</v>
      </c>
      <c r="R164" s="124">
        <v>45809</v>
      </c>
      <c r="S164" s="124">
        <v>45912</v>
      </c>
      <c r="T164" s="124">
        <v>45931</v>
      </c>
      <c r="U164" s="121"/>
      <c r="V164" s="121" t="s">
        <v>84</v>
      </c>
      <c r="W164" s="121" t="s">
        <v>993</v>
      </c>
      <c r="X164" s="121" t="s">
        <v>994</v>
      </c>
      <c r="Y164" s="120">
        <v>45912</v>
      </c>
      <c r="Z164" s="120">
        <v>45901</v>
      </c>
      <c r="AA164" s="118" t="s">
        <v>45</v>
      </c>
      <c r="AB164" s="118" t="s">
        <v>74</v>
      </c>
    </row>
    <row r="165" spans="1:28" ht="45" hidden="1" x14ac:dyDescent="0.25">
      <c r="A165" s="142">
        <v>156</v>
      </c>
      <c r="B165" s="121" t="s">
        <v>995</v>
      </c>
      <c r="C165" s="121"/>
      <c r="D165" s="121" t="s">
        <v>996</v>
      </c>
      <c r="E165" s="121" t="s">
        <v>997</v>
      </c>
      <c r="F165" s="121" t="s">
        <v>998</v>
      </c>
      <c r="G165" s="121" t="s">
        <v>479</v>
      </c>
      <c r="H165" s="121" t="s">
        <v>999</v>
      </c>
      <c r="I165" s="121" t="s">
        <v>94</v>
      </c>
      <c r="J165" s="121" t="s">
        <v>95</v>
      </c>
      <c r="K165" s="121" t="s">
        <v>83</v>
      </c>
      <c r="L165" s="121"/>
      <c r="M165" s="121" t="s">
        <v>266</v>
      </c>
      <c r="N165" s="121" t="s">
        <v>39</v>
      </c>
      <c r="O165" s="121" t="s">
        <v>39</v>
      </c>
      <c r="P165" s="121" t="s">
        <v>57</v>
      </c>
      <c r="Q165" s="121" t="s">
        <v>58</v>
      </c>
      <c r="R165" s="124">
        <v>45811</v>
      </c>
      <c r="S165" s="124">
        <v>45847</v>
      </c>
      <c r="T165" s="124">
        <v>45847</v>
      </c>
      <c r="U165" s="121"/>
      <c r="V165" s="121" t="s">
        <v>96</v>
      </c>
      <c r="W165" s="121" t="s">
        <v>1000</v>
      </c>
      <c r="X165" s="121" t="s">
        <v>1001</v>
      </c>
      <c r="Y165" s="120">
        <v>45835</v>
      </c>
      <c r="Z165" s="120">
        <v>45863</v>
      </c>
      <c r="AA165" s="118" t="s">
        <v>45</v>
      </c>
      <c r="AB165" s="118" t="s">
        <v>74</v>
      </c>
    </row>
    <row r="166" spans="1:28" ht="75" hidden="1" x14ac:dyDescent="0.25">
      <c r="A166" s="142">
        <v>157</v>
      </c>
      <c r="B166" s="121" t="s">
        <v>1002</v>
      </c>
      <c r="C166" s="121"/>
      <c r="D166" s="121" t="s">
        <v>1003</v>
      </c>
      <c r="E166" s="121"/>
      <c r="F166" s="121" t="s">
        <v>1004</v>
      </c>
      <c r="G166" s="121" t="s">
        <v>465</v>
      </c>
      <c r="H166" s="121" t="s">
        <v>679</v>
      </c>
      <c r="I166" s="121" t="s">
        <v>536</v>
      </c>
      <c r="J166" s="121" t="s">
        <v>95</v>
      </c>
      <c r="K166" s="121" t="s">
        <v>83</v>
      </c>
      <c r="L166" s="121" t="s">
        <v>104</v>
      </c>
      <c r="M166" s="121"/>
      <c r="N166" s="121" t="s">
        <v>39</v>
      </c>
      <c r="O166" s="121" t="s">
        <v>40</v>
      </c>
      <c r="P166" s="121" t="s">
        <v>41</v>
      </c>
      <c r="Q166" s="121" t="s">
        <v>58</v>
      </c>
      <c r="R166" s="124">
        <v>45796</v>
      </c>
      <c r="S166" s="124">
        <v>45819</v>
      </c>
      <c r="T166" s="124">
        <v>45898</v>
      </c>
      <c r="U166" s="121"/>
      <c r="V166" s="121" t="s">
        <v>84</v>
      </c>
      <c r="W166" s="121" t="s">
        <v>1005</v>
      </c>
      <c r="X166" s="121"/>
      <c r="Y166" s="120">
        <v>45814</v>
      </c>
      <c r="Z166" s="120">
        <v>45828</v>
      </c>
      <c r="AA166" s="118" t="s">
        <v>45</v>
      </c>
      <c r="AB166" s="118" t="s">
        <v>74</v>
      </c>
    </row>
    <row r="167" spans="1:28" ht="90" hidden="1" x14ac:dyDescent="0.25">
      <c r="A167" s="142" t="s">
        <v>1006</v>
      </c>
      <c r="B167" s="121" t="s">
        <v>1007</v>
      </c>
      <c r="C167" s="121" t="s">
        <v>1008</v>
      </c>
      <c r="D167" s="121" t="s">
        <v>1009</v>
      </c>
      <c r="E167" s="121" t="s">
        <v>1010</v>
      </c>
      <c r="F167" s="121" t="s">
        <v>1011</v>
      </c>
      <c r="G167" s="121" t="s">
        <v>52</v>
      </c>
      <c r="H167" s="121" t="s">
        <v>53</v>
      </c>
      <c r="I167" s="121" t="s">
        <v>82</v>
      </c>
      <c r="J167" s="121" t="s">
        <v>488</v>
      </c>
      <c r="K167" s="121" t="s">
        <v>83</v>
      </c>
      <c r="L167" s="121"/>
      <c r="M167" s="121" t="s">
        <v>855</v>
      </c>
      <c r="N167" s="121" t="s">
        <v>39</v>
      </c>
      <c r="O167" s="121" t="s">
        <v>39</v>
      </c>
      <c r="P167" s="121" t="s">
        <v>57</v>
      </c>
      <c r="Q167" s="121" t="s">
        <v>42</v>
      </c>
      <c r="R167" s="124">
        <v>45817</v>
      </c>
      <c r="S167" s="124">
        <v>45863</v>
      </c>
      <c r="T167" s="124">
        <v>45869</v>
      </c>
      <c r="U167" s="121"/>
      <c r="V167" s="121" t="s">
        <v>59</v>
      </c>
      <c r="W167" s="121" t="s">
        <v>1012</v>
      </c>
      <c r="X167" s="121"/>
      <c r="Y167" s="120">
        <v>45863</v>
      </c>
      <c r="Z167" s="120">
        <v>45849</v>
      </c>
      <c r="AA167" s="118" t="s">
        <v>45</v>
      </c>
      <c r="AB167" s="118" t="s">
        <v>74</v>
      </c>
    </row>
    <row r="168" spans="1:28" ht="270" hidden="1" x14ac:dyDescent="0.25">
      <c r="A168" s="142" t="s">
        <v>1013</v>
      </c>
      <c r="B168" s="121" t="s">
        <v>1007</v>
      </c>
      <c r="C168" s="121" t="s">
        <v>1014</v>
      </c>
      <c r="D168" s="121" t="s">
        <v>1015</v>
      </c>
      <c r="E168" s="121" t="s">
        <v>1016</v>
      </c>
      <c r="F168" s="121" t="s">
        <v>1011</v>
      </c>
      <c r="G168" s="121" t="s">
        <v>53</v>
      </c>
      <c r="H168" s="121" t="s">
        <v>1017</v>
      </c>
      <c r="I168" s="121" t="s">
        <v>82</v>
      </c>
      <c r="J168" s="121" t="s">
        <v>488</v>
      </c>
      <c r="K168" s="121" t="s">
        <v>83</v>
      </c>
      <c r="L168" s="121"/>
      <c r="M168" s="121" t="s">
        <v>855</v>
      </c>
      <c r="N168" s="121" t="s">
        <v>39</v>
      </c>
      <c r="O168" s="121" t="s">
        <v>39</v>
      </c>
      <c r="P168" s="121" t="s">
        <v>57</v>
      </c>
      <c r="Q168" s="121" t="s">
        <v>42</v>
      </c>
      <c r="R168" s="124">
        <v>45939</v>
      </c>
      <c r="S168" s="124">
        <v>46051</v>
      </c>
      <c r="T168" s="124">
        <v>46052</v>
      </c>
      <c r="U168" s="121"/>
      <c r="V168" s="121" t="s">
        <v>59</v>
      </c>
      <c r="W168" s="121" t="s">
        <v>1018</v>
      </c>
      <c r="X168" s="121"/>
      <c r="Y168" s="120">
        <v>46052</v>
      </c>
      <c r="Z168" s="120">
        <v>46052</v>
      </c>
      <c r="AA168" s="118" t="s">
        <v>45</v>
      </c>
      <c r="AB168" s="118" t="s">
        <v>74</v>
      </c>
    </row>
    <row r="169" spans="1:28" ht="30" hidden="1" x14ac:dyDescent="0.25">
      <c r="A169" s="142">
        <v>160</v>
      </c>
      <c r="B169" s="121" t="s">
        <v>1019</v>
      </c>
      <c r="C169" s="121" t="s">
        <v>1020</v>
      </c>
      <c r="D169" s="121" t="s">
        <v>1021</v>
      </c>
      <c r="E169" s="121"/>
      <c r="F169" s="121" t="s">
        <v>1022</v>
      </c>
      <c r="G169" s="121" t="s">
        <v>563</v>
      </c>
      <c r="H169" s="121" t="s">
        <v>1023</v>
      </c>
      <c r="I169" s="121" t="s">
        <v>54</v>
      </c>
      <c r="J169" s="121" t="s">
        <v>284</v>
      </c>
      <c r="K169" s="121" t="s">
        <v>83</v>
      </c>
      <c r="L169" s="121"/>
      <c r="M169" s="121" t="s">
        <v>266</v>
      </c>
      <c r="N169" s="121" t="s">
        <v>39</v>
      </c>
      <c r="O169" s="121" t="s">
        <v>40</v>
      </c>
      <c r="P169" s="121" t="s">
        <v>41</v>
      </c>
      <c r="Q169" s="121" t="s">
        <v>58</v>
      </c>
      <c r="R169" s="124">
        <v>45839</v>
      </c>
      <c r="S169" s="124">
        <v>45847</v>
      </c>
      <c r="T169" s="124">
        <v>45847</v>
      </c>
      <c r="U169" s="121"/>
      <c r="V169" s="121" t="s">
        <v>84</v>
      </c>
      <c r="W169" s="121" t="s">
        <v>1024</v>
      </c>
      <c r="X169" s="121"/>
      <c r="Y169" s="120">
        <v>45849</v>
      </c>
      <c r="AA169" s="118" t="s">
        <v>45</v>
      </c>
      <c r="AB169" s="118" t="s">
        <v>74</v>
      </c>
    </row>
    <row r="170" spans="1:28" ht="45" hidden="1" x14ac:dyDescent="0.25">
      <c r="A170" s="142">
        <v>161</v>
      </c>
      <c r="B170" s="121" t="s">
        <v>1025</v>
      </c>
      <c r="C170" s="121"/>
      <c r="D170" s="121" t="s">
        <v>1026</v>
      </c>
      <c r="E170" s="121"/>
      <c r="F170" s="121" t="s">
        <v>1027</v>
      </c>
      <c r="G170" s="121" t="s">
        <v>465</v>
      </c>
      <c r="H170" s="121" t="s">
        <v>1028</v>
      </c>
      <c r="I170" s="121" t="s">
        <v>185</v>
      </c>
      <c r="J170" s="121" t="s">
        <v>200</v>
      </c>
      <c r="K170" s="121" t="s">
        <v>83</v>
      </c>
      <c r="L170" s="121"/>
      <c r="M170" s="121" t="s">
        <v>266</v>
      </c>
      <c r="N170" s="121" t="s">
        <v>39</v>
      </c>
      <c r="O170" s="121" t="s">
        <v>40</v>
      </c>
      <c r="P170" s="121" t="s">
        <v>57</v>
      </c>
      <c r="Q170" s="121" t="s">
        <v>42</v>
      </c>
      <c r="R170" s="124">
        <v>45715</v>
      </c>
      <c r="S170" s="124">
        <v>45839</v>
      </c>
      <c r="T170" s="124">
        <v>45839</v>
      </c>
      <c r="U170" s="121"/>
      <c r="V170" s="121" t="s">
        <v>59</v>
      </c>
      <c r="W170" s="121" t="s">
        <v>1029</v>
      </c>
      <c r="X170" s="121"/>
      <c r="Y170" s="120">
        <v>45835</v>
      </c>
      <c r="Z170" s="120">
        <v>45842</v>
      </c>
      <c r="AA170" s="118" t="s">
        <v>45</v>
      </c>
      <c r="AB170" s="118" t="s">
        <v>74</v>
      </c>
    </row>
    <row r="171" spans="1:28" ht="135" hidden="1" x14ac:dyDescent="0.25">
      <c r="A171" s="142">
        <v>162</v>
      </c>
      <c r="B171" s="121" t="s">
        <v>1030</v>
      </c>
      <c r="C171" s="121"/>
      <c r="D171" s="121" t="s">
        <v>1031</v>
      </c>
      <c r="E171" s="121"/>
      <c r="F171" s="121" t="s">
        <v>1032</v>
      </c>
      <c r="G171" s="121" t="s">
        <v>999</v>
      </c>
      <c r="H171" s="121" t="s">
        <v>465</v>
      </c>
      <c r="I171" s="121" t="s">
        <v>121</v>
      </c>
      <c r="J171" s="121" t="s">
        <v>70</v>
      </c>
      <c r="K171" s="121" t="s">
        <v>83</v>
      </c>
      <c r="L171" s="121"/>
      <c r="M171" s="121" t="s">
        <v>266</v>
      </c>
      <c r="N171" s="121" t="s">
        <v>39</v>
      </c>
      <c r="O171" s="121" t="s">
        <v>39</v>
      </c>
      <c r="P171" s="121" t="s">
        <v>300</v>
      </c>
      <c r="Q171" s="121" t="s">
        <v>57</v>
      </c>
      <c r="R171" s="124">
        <v>45831</v>
      </c>
      <c r="S171" s="124">
        <v>45986</v>
      </c>
      <c r="T171" s="124">
        <v>46052</v>
      </c>
      <c r="U171" s="121"/>
      <c r="V171" s="121" t="s">
        <v>96</v>
      </c>
      <c r="W171" s="121" t="s">
        <v>1033</v>
      </c>
      <c r="X171" s="121"/>
      <c r="Y171" s="120">
        <v>46003</v>
      </c>
      <c r="Z171" s="120">
        <v>46010</v>
      </c>
      <c r="AA171" s="118" t="s">
        <v>45</v>
      </c>
      <c r="AB171" s="118" t="s">
        <v>74</v>
      </c>
    </row>
    <row r="172" spans="1:28" ht="120" hidden="1" x14ac:dyDescent="0.25">
      <c r="A172" s="142">
        <v>163</v>
      </c>
      <c r="B172" s="121" t="s">
        <v>1034</v>
      </c>
      <c r="C172" s="121"/>
      <c r="D172" s="121" t="s">
        <v>1035</v>
      </c>
      <c r="E172" s="121" t="s">
        <v>1036</v>
      </c>
      <c r="F172" s="121" t="s">
        <v>1037</v>
      </c>
      <c r="G172" s="121" t="s">
        <v>465</v>
      </c>
      <c r="H172" s="121" t="s">
        <v>1038</v>
      </c>
      <c r="I172" s="121" t="s">
        <v>69</v>
      </c>
      <c r="J172" s="121" t="s">
        <v>95</v>
      </c>
      <c r="K172" s="121" t="s">
        <v>83</v>
      </c>
      <c r="L172" s="121" t="s">
        <v>104</v>
      </c>
      <c r="M172" s="121" t="s">
        <v>266</v>
      </c>
      <c r="N172" s="121" t="s">
        <v>39</v>
      </c>
      <c r="O172" s="121" t="s">
        <v>40</v>
      </c>
      <c r="P172" s="121" t="s">
        <v>57</v>
      </c>
      <c r="Q172" s="121" t="s">
        <v>58</v>
      </c>
      <c r="R172" s="124">
        <v>45832</v>
      </c>
      <c r="S172" s="124">
        <v>45959</v>
      </c>
      <c r="T172" s="124">
        <v>45961</v>
      </c>
      <c r="U172" s="121"/>
      <c r="V172" s="121" t="s">
        <v>84</v>
      </c>
      <c r="W172" s="121" t="s">
        <v>1039</v>
      </c>
      <c r="X172" s="121" t="s">
        <v>1040</v>
      </c>
      <c r="Y172" s="120">
        <v>45912</v>
      </c>
      <c r="Z172" s="120">
        <v>45961</v>
      </c>
      <c r="AA172" s="118" t="s">
        <v>45</v>
      </c>
      <c r="AB172" s="118" t="s">
        <v>74</v>
      </c>
    </row>
    <row r="173" spans="1:28" ht="75" hidden="1" x14ac:dyDescent="0.25">
      <c r="A173" s="142" t="s">
        <v>1041</v>
      </c>
      <c r="B173" s="121" t="s">
        <v>219</v>
      </c>
      <c r="C173" s="121" t="s">
        <v>1042</v>
      </c>
      <c r="D173" s="121" t="s">
        <v>1042</v>
      </c>
      <c r="E173" s="121" t="s">
        <v>1043</v>
      </c>
      <c r="F173" s="121" t="s">
        <v>1044</v>
      </c>
      <c r="G173" s="121"/>
      <c r="H173" s="121" t="s">
        <v>120</v>
      </c>
      <c r="I173" s="121" t="s">
        <v>69</v>
      </c>
      <c r="J173" s="121" t="s">
        <v>144</v>
      </c>
      <c r="K173" s="121"/>
      <c r="L173" s="121" t="s">
        <v>537</v>
      </c>
      <c r="M173" s="121"/>
      <c r="N173" s="121" t="s">
        <v>39</v>
      </c>
      <c r="O173" s="121" t="s">
        <v>40</v>
      </c>
      <c r="P173" s="121" t="s">
        <v>105</v>
      </c>
      <c r="Q173" s="121" t="s">
        <v>42</v>
      </c>
      <c r="R173" s="124"/>
      <c r="S173" s="124">
        <v>46059</v>
      </c>
      <c r="T173" s="124"/>
      <c r="U173" s="121"/>
      <c r="V173" s="121" t="s">
        <v>285</v>
      </c>
      <c r="W173" s="121" t="s">
        <v>1045</v>
      </c>
      <c r="X173" s="121" t="s">
        <v>1046</v>
      </c>
      <c r="Y173" s="120">
        <v>46059</v>
      </c>
      <c r="Z173" s="120">
        <v>46054</v>
      </c>
      <c r="AA173" s="118" t="s">
        <v>45</v>
      </c>
      <c r="AB173" s="118" t="s">
        <v>74</v>
      </c>
    </row>
    <row r="174" spans="1:28" ht="75" hidden="1" x14ac:dyDescent="0.25">
      <c r="A174" s="142">
        <v>164</v>
      </c>
      <c r="B174" s="121" t="s">
        <v>1047</v>
      </c>
      <c r="C174" s="121"/>
      <c r="D174" s="121" t="s">
        <v>530</v>
      </c>
      <c r="E174" s="121" t="s">
        <v>530</v>
      </c>
      <c r="F174" s="121" t="s">
        <v>435</v>
      </c>
      <c r="G174" s="121" t="s">
        <v>53</v>
      </c>
      <c r="H174" s="121" t="s">
        <v>1048</v>
      </c>
      <c r="I174" s="121" t="s">
        <v>35</v>
      </c>
      <c r="J174" s="121" t="s">
        <v>144</v>
      </c>
      <c r="K174" s="121" t="s">
        <v>56</v>
      </c>
      <c r="L174" s="121"/>
      <c r="M174" s="121" t="s">
        <v>266</v>
      </c>
      <c r="N174" s="121" t="s">
        <v>39</v>
      </c>
      <c r="O174" s="121" t="s">
        <v>40</v>
      </c>
      <c r="P174" s="121" t="s">
        <v>105</v>
      </c>
      <c r="Q174" s="121" t="s">
        <v>57</v>
      </c>
      <c r="R174" s="124">
        <v>45856</v>
      </c>
      <c r="S174" s="124">
        <v>45905</v>
      </c>
      <c r="T174" s="124">
        <v>45891</v>
      </c>
      <c r="U174" s="121"/>
      <c r="V174" s="121" t="s">
        <v>59</v>
      </c>
      <c r="W174" s="121" t="s">
        <v>1049</v>
      </c>
      <c r="X174" s="121" t="s">
        <v>1050</v>
      </c>
      <c r="Y174" s="120">
        <v>45912</v>
      </c>
      <c r="Z174" s="120">
        <v>45905</v>
      </c>
      <c r="AA174" s="118" t="s">
        <v>45</v>
      </c>
      <c r="AB174" s="118" t="s">
        <v>74</v>
      </c>
    </row>
    <row r="175" spans="1:28" ht="120" hidden="1" x14ac:dyDescent="0.25">
      <c r="A175" s="142">
        <v>165</v>
      </c>
      <c r="B175" s="121" t="s">
        <v>1051</v>
      </c>
      <c r="C175" s="121"/>
      <c r="D175" s="121" t="s">
        <v>1052</v>
      </c>
      <c r="E175" s="121" t="s">
        <v>1052</v>
      </c>
      <c r="F175" s="121" t="s">
        <v>435</v>
      </c>
      <c r="G175" s="121" t="s">
        <v>53</v>
      </c>
      <c r="H175" s="121" t="s">
        <v>1053</v>
      </c>
      <c r="I175" s="121" t="s">
        <v>35</v>
      </c>
      <c r="J175" s="121" t="s">
        <v>144</v>
      </c>
      <c r="K175" s="121" t="s">
        <v>56</v>
      </c>
      <c r="L175" s="121"/>
      <c r="M175" s="121" t="s">
        <v>266</v>
      </c>
      <c r="N175" s="121" t="s">
        <v>39</v>
      </c>
      <c r="O175" s="121" t="s">
        <v>40</v>
      </c>
      <c r="P175" s="121" t="s">
        <v>105</v>
      </c>
      <c r="Q175" s="121" t="s">
        <v>57</v>
      </c>
      <c r="R175" s="124">
        <v>45853</v>
      </c>
      <c r="S175" s="124">
        <v>45905</v>
      </c>
      <c r="T175" s="124">
        <v>45891</v>
      </c>
      <c r="U175" s="121"/>
      <c r="V175" s="121" t="s">
        <v>59</v>
      </c>
      <c r="W175" s="121" t="s">
        <v>1054</v>
      </c>
      <c r="X175" s="121" t="s">
        <v>1055</v>
      </c>
      <c r="Y175" s="120">
        <v>45912</v>
      </c>
      <c r="Z175" s="120">
        <v>45891</v>
      </c>
      <c r="AA175" s="118" t="s">
        <v>45</v>
      </c>
      <c r="AB175" s="118" t="s">
        <v>74</v>
      </c>
    </row>
    <row r="176" spans="1:28" ht="30" hidden="1" x14ac:dyDescent="0.25">
      <c r="A176" s="142" t="s">
        <v>1056</v>
      </c>
      <c r="B176" s="121" t="s">
        <v>348</v>
      </c>
      <c r="C176" s="121"/>
      <c r="D176" s="121" t="s">
        <v>348</v>
      </c>
      <c r="E176" s="121"/>
      <c r="F176" s="121"/>
      <c r="G176" s="121" t="s">
        <v>143</v>
      </c>
      <c r="H176" s="121"/>
      <c r="I176" s="121" t="s">
        <v>103</v>
      </c>
      <c r="J176" s="121" t="s">
        <v>55</v>
      </c>
      <c r="K176" s="121" t="s">
        <v>56</v>
      </c>
      <c r="L176" s="121"/>
      <c r="M176" s="121"/>
      <c r="N176" s="121" t="s">
        <v>39</v>
      </c>
      <c r="O176" s="121"/>
      <c r="P176" s="121" t="s">
        <v>57</v>
      </c>
      <c r="Q176" s="121" t="s">
        <v>58</v>
      </c>
      <c r="R176" s="124">
        <v>46038</v>
      </c>
      <c r="S176" s="124"/>
      <c r="T176" s="124"/>
      <c r="U176" s="121"/>
      <c r="V176" s="121"/>
      <c r="W176" s="121" t="s">
        <v>1057</v>
      </c>
      <c r="X176" s="121" t="s">
        <v>1058</v>
      </c>
      <c r="Z176" s="120">
        <v>46318</v>
      </c>
      <c r="AA176" s="118" t="s">
        <v>671</v>
      </c>
      <c r="AB176" s="118" t="s">
        <v>514</v>
      </c>
    </row>
    <row r="177" spans="1:28" ht="45" hidden="1" x14ac:dyDescent="0.25">
      <c r="A177" s="142" t="s">
        <v>1059</v>
      </c>
      <c r="B177" s="121" t="s">
        <v>848</v>
      </c>
      <c r="C177" s="121"/>
      <c r="D177" s="121" t="s">
        <v>1060</v>
      </c>
      <c r="E177" s="121"/>
      <c r="F177" s="121" t="s">
        <v>583</v>
      </c>
      <c r="G177" s="121" t="s">
        <v>143</v>
      </c>
      <c r="H177" s="121"/>
      <c r="I177" s="121" t="s">
        <v>584</v>
      </c>
      <c r="J177" s="121" t="s">
        <v>55</v>
      </c>
      <c r="K177" s="121" t="s">
        <v>56</v>
      </c>
      <c r="L177" s="121"/>
      <c r="M177" s="121"/>
      <c r="N177" s="121" t="s">
        <v>39</v>
      </c>
      <c r="O177" s="121"/>
      <c r="P177" s="121" t="s">
        <v>57</v>
      </c>
      <c r="Q177" s="121" t="s">
        <v>58</v>
      </c>
      <c r="R177" s="124">
        <v>46038</v>
      </c>
      <c r="S177" s="124"/>
      <c r="T177" s="124"/>
      <c r="U177" s="121"/>
      <c r="V177" s="121"/>
      <c r="W177" s="121" t="s">
        <v>1061</v>
      </c>
      <c r="X177" s="121" t="s">
        <v>670</v>
      </c>
      <c r="Y177" s="120">
        <v>46094</v>
      </c>
      <c r="Z177" s="120">
        <v>46115</v>
      </c>
      <c r="AA177" s="118" t="s">
        <v>671</v>
      </c>
      <c r="AB177" s="118" t="s">
        <v>514</v>
      </c>
    </row>
    <row r="178" spans="1:28" ht="45" hidden="1" x14ac:dyDescent="0.25">
      <c r="A178" s="142">
        <v>166</v>
      </c>
      <c r="B178" s="121" t="s">
        <v>1062</v>
      </c>
      <c r="C178" s="121" t="s">
        <v>1063</v>
      </c>
      <c r="D178" s="121" t="s">
        <v>1064</v>
      </c>
      <c r="E178" s="121" t="s">
        <v>1065</v>
      </c>
      <c r="F178" s="121" t="s">
        <v>111</v>
      </c>
      <c r="G178" s="121" t="s">
        <v>495</v>
      </c>
      <c r="H178" s="121"/>
      <c r="I178" s="121" t="s">
        <v>69</v>
      </c>
      <c r="J178" s="121" t="s">
        <v>144</v>
      </c>
      <c r="K178" s="121" t="s">
        <v>83</v>
      </c>
      <c r="L178" s="121" t="s">
        <v>537</v>
      </c>
      <c r="M178" s="121"/>
      <c r="N178" s="121" t="s">
        <v>39</v>
      </c>
      <c r="O178" s="121" t="s">
        <v>40</v>
      </c>
      <c r="P178" s="121" t="s">
        <v>105</v>
      </c>
      <c r="Q178" s="121" t="s">
        <v>57</v>
      </c>
      <c r="R178" s="124">
        <v>46038</v>
      </c>
      <c r="S178" s="124">
        <v>46038</v>
      </c>
      <c r="T178" s="124">
        <v>46044</v>
      </c>
      <c r="U178" s="124">
        <v>46035</v>
      </c>
      <c r="V178" s="121" t="s">
        <v>59</v>
      </c>
      <c r="W178" s="121" t="s">
        <v>1066</v>
      </c>
      <c r="X178" s="121" t="s">
        <v>1067</v>
      </c>
      <c r="Y178" s="120">
        <v>46003</v>
      </c>
      <c r="Z178" s="120">
        <v>46038</v>
      </c>
      <c r="AA178" s="118" t="s">
        <v>45</v>
      </c>
      <c r="AB178" s="118" t="s">
        <v>74</v>
      </c>
    </row>
    <row r="179" spans="1:28" ht="90" hidden="1" x14ac:dyDescent="0.25">
      <c r="A179" s="142">
        <v>167</v>
      </c>
      <c r="B179" s="121" t="s">
        <v>1068</v>
      </c>
      <c r="C179" s="121"/>
      <c r="D179" s="121" t="s">
        <v>1069</v>
      </c>
      <c r="E179" s="121" t="s">
        <v>1070</v>
      </c>
      <c r="F179" s="121" t="s">
        <v>1071</v>
      </c>
      <c r="G179" s="121" t="s">
        <v>241</v>
      </c>
      <c r="H179" s="121" t="s">
        <v>1072</v>
      </c>
      <c r="I179" s="121" t="s">
        <v>69</v>
      </c>
      <c r="J179" s="121" t="s">
        <v>488</v>
      </c>
      <c r="K179" s="121" t="s">
        <v>37</v>
      </c>
      <c r="L179" s="121"/>
      <c r="M179" s="121" t="s">
        <v>1073</v>
      </c>
      <c r="N179" s="121" t="s">
        <v>39</v>
      </c>
      <c r="O179" s="121" t="s">
        <v>40</v>
      </c>
      <c r="P179" s="121" t="s">
        <v>41</v>
      </c>
      <c r="Q179" s="121" t="s">
        <v>42</v>
      </c>
      <c r="R179" s="124">
        <v>45917</v>
      </c>
      <c r="S179" s="124">
        <v>46070</v>
      </c>
      <c r="T179" s="124">
        <v>46070</v>
      </c>
      <c r="U179" s="121"/>
      <c r="V179" s="121" t="s">
        <v>84</v>
      </c>
      <c r="W179" s="121" t="s">
        <v>1074</v>
      </c>
      <c r="X179" s="121"/>
      <c r="Y179" s="120">
        <v>46066</v>
      </c>
      <c r="Z179" s="120">
        <v>46073</v>
      </c>
      <c r="AA179" s="118" t="s">
        <v>45</v>
      </c>
      <c r="AB179" s="118" t="s">
        <v>74</v>
      </c>
    </row>
    <row r="180" spans="1:28" ht="30" hidden="1" x14ac:dyDescent="0.25">
      <c r="A180" s="142">
        <v>168</v>
      </c>
      <c r="B180" s="121" t="s">
        <v>1075</v>
      </c>
      <c r="C180" s="121"/>
      <c r="D180" s="121" t="s">
        <v>1076</v>
      </c>
      <c r="E180" s="121"/>
      <c r="F180" s="121" t="s">
        <v>1077</v>
      </c>
      <c r="G180" s="121" t="s">
        <v>465</v>
      </c>
      <c r="H180" s="121"/>
      <c r="I180" s="121" t="s">
        <v>536</v>
      </c>
      <c r="J180" s="121" t="s">
        <v>138</v>
      </c>
      <c r="K180" s="121" t="s">
        <v>56</v>
      </c>
      <c r="L180" s="121"/>
      <c r="M180" s="121" t="s">
        <v>266</v>
      </c>
      <c r="N180" s="121" t="s">
        <v>39</v>
      </c>
      <c r="O180" s="121" t="s">
        <v>40</v>
      </c>
      <c r="P180" s="121" t="s">
        <v>105</v>
      </c>
      <c r="Q180" s="121" t="s">
        <v>58</v>
      </c>
      <c r="R180" s="124">
        <v>45931</v>
      </c>
      <c r="S180" s="124">
        <v>45957</v>
      </c>
      <c r="T180" s="124">
        <v>45981</v>
      </c>
      <c r="U180" s="121"/>
      <c r="V180" s="121" t="s">
        <v>59</v>
      </c>
      <c r="W180" s="121" t="s">
        <v>1078</v>
      </c>
      <c r="X180" s="121" t="s">
        <v>1079</v>
      </c>
      <c r="Y180" s="120">
        <v>45954</v>
      </c>
      <c r="Z180" s="120">
        <v>45961</v>
      </c>
      <c r="AA180" s="118" t="s">
        <v>45</v>
      </c>
      <c r="AB180" s="118" t="s">
        <v>74</v>
      </c>
    </row>
    <row r="181" spans="1:28" ht="105" hidden="1" x14ac:dyDescent="0.25">
      <c r="A181" s="142">
        <v>169</v>
      </c>
      <c r="B181" s="121" t="s">
        <v>1080</v>
      </c>
      <c r="C181" s="121"/>
      <c r="D181" s="121" t="s">
        <v>1081</v>
      </c>
      <c r="E181" s="121" t="s">
        <v>1082</v>
      </c>
      <c r="F181" s="121" t="s">
        <v>1083</v>
      </c>
      <c r="G181" s="121" t="s">
        <v>1084</v>
      </c>
      <c r="H181" s="121" t="s">
        <v>67</v>
      </c>
      <c r="I181" s="121" t="s">
        <v>69</v>
      </c>
      <c r="J181" s="121" t="s">
        <v>70</v>
      </c>
      <c r="K181" s="121" t="s">
        <v>83</v>
      </c>
      <c r="L181" s="121" t="s">
        <v>104</v>
      </c>
      <c r="M181" s="121" t="s">
        <v>72</v>
      </c>
      <c r="N181" s="121" t="s">
        <v>39</v>
      </c>
      <c r="O181" s="121" t="s">
        <v>40</v>
      </c>
      <c r="P181" s="121" t="s">
        <v>41</v>
      </c>
      <c r="Q181" s="121" t="s">
        <v>42</v>
      </c>
      <c r="R181" s="124">
        <v>45901</v>
      </c>
      <c r="S181" s="124">
        <v>45961</v>
      </c>
      <c r="T181" s="124">
        <v>45961</v>
      </c>
      <c r="U181" s="121"/>
      <c r="V181" s="121" t="s">
        <v>84</v>
      </c>
      <c r="W181" s="121" t="s">
        <v>1085</v>
      </c>
      <c r="X181" s="121" t="s">
        <v>1086</v>
      </c>
      <c r="Y181" s="120">
        <v>45954</v>
      </c>
      <c r="Z181" s="120">
        <v>45961</v>
      </c>
      <c r="AA181" s="118" t="s">
        <v>45</v>
      </c>
      <c r="AB181" s="118" t="s">
        <v>74</v>
      </c>
    </row>
    <row r="182" spans="1:28" ht="45" hidden="1" x14ac:dyDescent="0.25">
      <c r="A182" s="142" t="s">
        <v>1087</v>
      </c>
      <c r="B182" s="121" t="s">
        <v>934</v>
      </c>
      <c r="C182" s="121"/>
      <c r="D182" s="121" t="s">
        <v>581</v>
      </c>
      <c r="E182" s="121"/>
      <c r="F182" s="121" t="s">
        <v>583</v>
      </c>
      <c r="G182" s="121" t="s">
        <v>349</v>
      </c>
      <c r="H182" s="121"/>
      <c r="I182" s="121" t="s">
        <v>584</v>
      </c>
      <c r="J182" s="121" t="s">
        <v>55</v>
      </c>
      <c r="K182" s="121" t="s">
        <v>56</v>
      </c>
      <c r="L182" s="121" t="s">
        <v>104</v>
      </c>
      <c r="M182" s="121" t="s">
        <v>763</v>
      </c>
      <c r="N182" s="121" t="s">
        <v>39</v>
      </c>
      <c r="O182" s="121"/>
      <c r="P182" s="121" t="s">
        <v>57</v>
      </c>
      <c r="Q182" s="121" t="s">
        <v>58</v>
      </c>
      <c r="R182" s="124">
        <v>46327</v>
      </c>
      <c r="S182" s="124"/>
      <c r="T182" s="124"/>
      <c r="U182" s="121"/>
      <c r="V182" s="121" t="s">
        <v>43</v>
      </c>
      <c r="W182" s="121" t="s">
        <v>1088</v>
      </c>
      <c r="X182" s="121" t="s">
        <v>670</v>
      </c>
      <c r="Z182" s="120">
        <v>46325</v>
      </c>
      <c r="AA182" s="118" t="s">
        <v>671</v>
      </c>
      <c r="AB182" s="118" t="s">
        <v>74</v>
      </c>
    </row>
    <row r="183" spans="1:28" ht="60" hidden="1" x14ac:dyDescent="0.25">
      <c r="A183" s="142">
        <v>170</v>
      </c>
      <c r="B183" s="121" t="s">
        <v>1089</v>
      </c>
      <c r="C183" s="121"/>
      <c r="D183" s="121" t="s">
        <v>1090</v>
      </c>
      <c r="E183" s="121" t="s">
        <v>1091</v>
      </c>
      <c r="F183" s="121" t="s">
        <v>1092</v>
      </c>
      <c r="G183" s="121" t="s">
        <v>465</v>
      </c>
      <c r="H183" s="121"/>
      <c r="I183" s="121" t="s">
        <v>551</v>
      </c>
      <c r="J183" s="121" t="s">
        <v>488</v>
      </c>
      <c r="K183" s="121" t="s">
        <v>83</v>
      </c>
      <c r="L183" s="121" t="s">
        <v>1093</v>
      </c>
      <c r="M183" s="121" t="s">
        <v>266</v>
      </c>
      <c r="N183" s="121" t="s">
        <v>39</v>
      </c>
      <c r="O183" s="121" t="s">
        <v>39</v>
      </c>
      <c r="P183" s="121" t="s">
        <v>41</v>
      </c>
      <c r="Q183" s="121" t="s">
        <v>57</v>
      </c>
      <c r="R183" s="124">
        <v>45932</v>
      </c>
      <c r="S183" s="124">
        <v>46059</v>
      </c>
      <c r="T183" s="124">
        <v>46080</v>
      </c>
      <c r="U183" s="121"/>
      <c r="V183" s="121" t="s">
        <v>96</v>
      </c>
      <c r="W183" s="121" t="s">
        <v>1094</v>
      </c>
      <c r="X183" s="121"/>
      <c r="Y183" s="120">
        <v>46066</v>
      </c>
      <c r="Z183" s="120">
        <v>46066</v>
      </c>
      <c r="AA183" s="118" t="s">
        <v>45</v>
      </c>
      <c r="AB183" s="118" t="s">
        <v>74</v>
      </c>
    </row>
    <row r="184" spans="1:28" ht="30" hidden="1" x14ac:dyDescent="0.25">
      <c r="A184" s="142" t="s">
        <v>1095</v>
      </c>
      <c r="B184" s="121" t="s">
        <v>907</v>
      </c>
      <c r="C184" s="121"/>
      <c r="D184" s="121" t="s">
        <v>907</v>
      </c>
      <c r="E184" s="121"/>
      <c r="F184" s="121" t="s">
        <v>908</v>
      </c>
      <c r="G184" s="121" t="s">
        <v>143</v>
      </c>
      <c r="H184" s="121"/>
      <c r="I184" s="121" t="s">
        <v>103</v>
      </c>
      <c r="J184" s="121" t="s">
        <v>55</v>
      </c>
      <c r="K184" s="121" t="s">
        <v>56</v>
      </c>
      <c r="L184" s="121"/>
      <c r="M184" s="121"/>
      <c r="N184" s="121" t="s">
        <v>39</v>
      </c>
      <c r="O184" s="121"/>
      <c r="P184" s="121" t="s">
        <v>57</v>
      </c>
      <c r="Q184" s="121" t="s">
        <v>58</v>
      </c>
      <c r="R184" s="124">
        <v>46161</v>
      </c>
      <c r="S184" s="124"/>
      <c r="T184" s="124">
        <v>46186</v>
      </c>
      <c r="U184" s="121"/>
      <c r="V184" s="121"/>
      <c r="W184" s="121"/>
      <c r="X184" s="121" t="s">
        <v>1096</v>
      </c>
      <c r="Z184" s="120">
        <v>46157</v>
      </c>
      <c r="AA184" s="118" t="s">
        <v>671</v>
      </c>
      <c r="AB184" s="118" t="s">
        <v>514</v>
      </c>
    </row>
    <row r="185" spans="1:28" ht="30" hidden="1" x14ac:dyDescent="0.25">
      <c r="A185" s="142" t="s">
        <v>1097</v>
      </c>
      <c r="B185" s="121" t="s">
        <v>896</v>
      </c>
      <c r="C185" s="121"/>
      <c r="D185" s="121" t="s">
        <v>896</v>
      </c>
      <c r="E185" s="121"/>
      <c r="F185" s="121" t="s">
        <v>891</v>
      </c>
      <c r="G185" s="121" t="s">
        <v>143</v>
      </c>
      <c r="H185" s="121"/>
      <c r="I185" s="121" t="s">
        <v>103</v>
      </c>
      <c r="J185" s="121" t="s">
        <v>55</v>
      </c>
      <c r="K185" s="121" t="s">
        <v>56</v>
      </c>
      <c r="L185" s="121"/>
      <c r="M185" s="121"/>
      <c r="N185" s="121" t="s">
        <v>39</v>
      </c>
      <c r="O185" s="121"/>
      <c r="P185" s="121" t="s">
        <v>41</v>
      </c>
      <c r="Q185" s="121" t="s">
        <v>58</v>
      </c>
      <c r="R185" s="124">
        <v>46134</v>
      </c>
      <c r="S185" s="124"/>
      <c r="T185" s="124">
        <v>46164</v>
      </c>
      <c r="U185" s="121"/>
      <c r="V185" s="121"/>
      <c r="W185" s="121"/>
      <c r="X185" s="121"/>
      <c r="Z185" s="120">
        <v>46129</v>
      </c>
      <c r="AA185" s="118" t="s">
        <v>709</v>
      </c>
      <c r="AB185" s="118" t="s">
        <v>514</v>
      </c>
    </row>
    <row r="186" spans="1:28" ht="240" hidden="1" x14ac:dyDescent="0.25">
      <c r="A186" s="142" t="s">
        <v>1098</v>
      </c>
      <c r="B186" s="121" t="s">
        <v>1099</v>
      </c>
      <c r="C186" s="121" t="s">
        <v>1100</v>
      </c>
      <c r="D186" s="121" t="s">
        <v>1101</v>
      </c>
      <c r="E186" s="121"/>
      <c r="F186" s="121" t="s">
        <v>148</v>
      </c>
      <c r="G186" s="121" t="s">
        <v>519</v>
      </c>
      <c r="H186" s="121" t="s">
        <v>1102</v>
      </c>
      <c r="I186" s="121" t="s">
        <v>69</v>
      </c>
      <c r="J186" s="121" t="s">
        <v>70</v>
      </c>
      <c r="K186" s="121" t="s">
        <v>83</v>
      </c>
      <c r="L186" s="121" t="s">
        <v>104</v>
      </c>
      <c r="M186" s="121" t="s">
        <v>72</v>
      </c>
      <c r="N186" s="121" t="s">
        <v>39</v>
      </c>
      <c r="O186" s="121" t="s">
        <v>40</v>
      </c>
      <c r="P186" s="121" t="s">
        <v>41</v>
      </c>
      <c r="Q186" s="121" t="s">
        <v>42</v>
      </c>
      <c r="R186" s="124">
        <v>45943</v>
      </c>
      <c r="S186" s="124">
        <v>46002</v>
      </c>
      <c r="T186" s="124">
        <v>46053</v>
      </c>
      <c r="U186" s="121"/>
      <c r="V186" s="121" t="s">
        <v>59</v>
      </c>
      <c r="W186" s="121" t="s">
        <v>1103</v>
      </c>
      <c r="X186" s="121" t="s">
        <v>1104</v>
      </c>
      <c r="Y186" s="120">
        <v>46031</v>
      </c>
      <c r="Z186" s="120">
        <v>46031</v>
      </c>
      <c r="AA186" s="118" t="s">
        <v>45</v>
      </c>
      <c r="AB186" s="118" t="s">
        <v>74</v>
      </c>
    </row>
    <row r="187" spans="1:28" ht="60" hidden="1" x14ac:dyDescent="0.25">
      <c r="A187" s="142" t="s">
        <v>1105</v>
      </c>
      <c r="B187" s="121" t="s">
        <v>1106</v>
      </c>
      <c r="C187" s="121"/>
      <c r="D187" s="121" t="s">
        <v>890</v>
      </c>
      <c r="E187" s="121"/>
      <c r="F187" s="121" t="s">
        <v>891</v>
      </c>
      <c r="G187" s="121" t="s">
        <v>143</v>
      </c>
      <c r="H187" s="121" t="s">
        <v>892</v>
      </c>
      <c r="I187" s="121" t="s">
        <v>103</v>
      </c>
      <c r="J187" s="121" t="s">
        <v>55</v>
      </c>
      <c r="K187" s="121" t="s">
        <v>56</v>
      </c>
      <c r="L187" s="121" t="s">
        <v>104</v>
      </c>
      <c r="M187" s="121" t="s">
        <v>266</v>
      </c>
      <c r="N187" s="121" t="s">
        <v>39</v>
      </c>
      <c r="O187" s="121" t="s">
        <v>40</v>
      </c>
      <c r="P187" s="121" t="s">
        <v>41</v>
      </c>
      <c r="Q187" s="121" t="s">
        <v>58</v>
      </c>
      <c r="R187" s="124">
        <v>46113</v>
      </c>
      <c r="S187" s="124"/>
      <c r="T187" s="124">
        <v>46164</v>
      </c>
      <c r="U187" s="121"/>
      <c r="V187" s="121" t="s">
        <v>43</v>
      </c>
      <c r="W187" s="121" t="s">
        <v>1107</v>
      </c>
      <c r="X187" s="121" t="s">
        <v>1877</v>
      </c>
      <c r="Y187" s="120">
        <v>46108</v>
      </c>
      <c r="Z187" s="120">
        <v>46115</v>
      </c>
      <c r="AA187" s="118" t="s">
        <v>73</v>
      </c>
      <c r="AB187" s="118" t="s">
        <v>74</v>
      </c>
    </row>
    <row r="188" spans="1:28" ht="75" hidden="1" x14ac:dyDescent="0.25">
      <c r="A188" s="142">
        <v>175</v>
      </c>
      <c r="B188" s="121" t="s">
        <v>1108</v>
      </c>
      <c r="C188" s="121"/>
      <c r="D188" s="121" t="s">
        <v>1109</v>
      </c>
      <c r="E188" s="121" t="s">
        <v>1110</v>
      </c>
      <c r="F188" s="121" t="s">
        <v>1111</v>
      </c>
      <c r="G188" s="121" t="s">
        <v>495</v>
      </c>
      <c r="H188" s="121" t="s">
        <v>1112</v>
      </c>
      <c r="I188" s="121" t="s">
        <v>69</v>
      </c>
      <c r="J188" s="121" t="s">
        <v>70</v>
      </c>
      <c r="K188" s="121" t="s">
        <v>83</v>
      </c>
      <c r="L188" s="121" t="s">
        <v>1113</v>
      </c>
      <c r="M188" s="121" t="s">
        <v>717</v>
      </c>
      <c r="N188" s="121" t="s">
        <v>39</v>
      </c>
      <c r="O188" s="121" t="s">
        <v>40</v>
      </c>
      <c r="P188" s="121" t="s">
        <v>41</v>
      </c>
      <c r="Q188" s="121" t="s">
        <v>57</v>
      </c>
      <c r="R188" s="124">
        <v>45957</v>
      </c>
      <c r="S188" s="124">
        <v>45968</v>
      </c>
      <c r="T188" s="124">
        <v>45975</v>
      </c>
      <c r="U188" s="121"/>
      <c r="V188" s="121" t="s">
        <v>84</v>
      </c>
      <c r="W188" s="121" t="s">
        <v>1114</v>
      </c>
      <c r="X188" s="121" t="s">
        <v>1115</v>
      </c>
      <c r="Y188" s="120">
        <v>45958</v>
      </c>
      <c r="Z188" s="120">
        <v>45975</v>
      </c>
      <c r="AA188" s="118" t="s">
        <v>45</v>
      </c>
      <c r="AB188" s="118" t="s">
        <v>74</v>
      </c>
    </row>
    <row r="189" spans="1:28" ht="45" hidden="1" x14ac:dyDescent="0.25">
      <c r="A189" s="142" t="s">
        <v>1116</v>
      </c>
      <c r="B189" s="121" t="s">
        <v>886</v>
      </c>
      <c r="C189" s="121" t="s">
        <v>886</v>
      </c>
      <c r="D189" s="121" t="s">
        <v>49</v>
      </c>
      <c r="E189" s="121" t="s">
        <v>50</v>
      </c>
      <c r="F189" s="121" t="s">
        <v>51</v>
      </c>
      <c r="G189" s="121" t="s">
        <v>143</v>
      </c>
      <c r="H189" s="121"/>
      <c r="I189" s="121" t="s">
        <v>54</v>
      </c>
      <c r="J189" s="121" t="s">
        <v>55</v>
      </c>
      <c r="K189" s="121" t="s">
        <v>56</v>
      </c>
      <c r="L189" s="121"/>
      <c r="M189" s="121"/>
      <c r="N189" s="121" t="s">
        <v>39</v>
      </c>
      <c r="O189" s="121" t="s">
        <v>40</v>
      </c>
      <c r="P189" s="121" t="s">
        <v>57</v>
      </c>
      <c r="Q189" s="121" t="s">
        <v>58</v>
      </c>
      <c r="R189" s="124"/>
      <c r="S189" s="124"/>
      <c r="T189" s="124"/>
      <c r="U189" s="121"/>
      <c r="V189" s="121"/>
      <c r="W189" s="121" t="s">
        <v>1117</v>
      </c>
      <c r="X189" s="121" t="s">
        <v>1118</v>
      </c>
      <c r="Z189" s="120">
        <v>46249</v>
      </c>
      <c r="AA189" s="118" t="s">
        <v>1119</v>
      </c>
      <c r="AB189" s="118" t="s">
        <v>74</v>
      </c>
    </row>
    <row r="190" spans="1:28" ht="45" hidden="1" x14ac:dyDescent="0.25">
      <c r="A190" s="142" t="s">
        <v>1120</v>
      </c>
      <c r="B190" s="121" t="s">
        <v>881</v>
      </c>
      <c r="C190" s="121" t="s">
        <v>881</v>
      </c>
      <c r="D190" s="121" t="s">
        <v>49</v>
      </c>
      <c r="E190" s="121" t="s">
        <v>50</v>
      </c>
      <c r="F190" s="121" t="s">
        <v>51</v>
      </c>
      <c r="G190" s="121" t="s">
        <v>143</v>
      </c>
      <c r="H190" s="121"/>
      <c r="I190" s="121" t="s">
        <v>54</v>
      </c>
      <c r="J190" s="121" t="s">
        <v>55</v>
      </c>
      <c r="K190" s="121" t="s">
        <v>56</v>
      </c>
      <c r="L190" s="121"/>
      <c r="M190" s="121"/>
      <c r="N190" s="121" t="s">
        <v>39</v>
      </c>
      <c r="O190" s="121" t="s">
        <v>40</v>
      </c>
      <c r="P190" s="121" t="s">
        <v>57</v>
      </c>
      <c r="Q190" s="121" t="s">
        <v>58</v>
      </c>
      <c r="R190" s="124"/>
      <c r="S190" s="124"/>
      <c r="T190" s="124"/>
      <c r="U190" s="121"/>
      <c r="V190" s="121"/>
      <c r="W190" s="121" t="s">
        <v>1121</v>
      </c>
      <c r="X190" s="121" t="s">
        <v>1118</v>
      </c>
      <c r="Z190" s="120">
        <v>46249</v>
      </c>
      <c r="AA190" s="118" t="s">
        <v>1119</v>
      </c>
      <c r="AB190" s="118" t="s">
        <v>74</v>
      </c>
    </row>
    <row r="191" spans="1:28" ht="45" hidden="1" x14ac:dyDescent="0.25">
      <c r="A191" s="142" t="s">
        <v>1122</v>
      </c>
      <c r="B191" s="121" t="s">
        <v>876</v>
      </c>
      <c r="C191" s="121" t="s">
        <v>876</v>
      </c>
      <c r="D191" s="121" t="s">
        <v>49</v>
      </c>
      <c r="E191" s="121" t="s">
        <v>50</v>
      </c>
      <c r="F191" s="121" t="s">
        <v>51</v>
      </c>
      <c r="G191" s="121" t="s">
        <v>143</v>
      </c>
      <c r="H191" s="121"/>
      <c r="I191" s="121" t="s">
        <v>54</v>
      </c>
      <c r="J191" s="121" t="s">
        <v>55</v>
      </c>
      <c r="K191" s="121" t="s">
        <v>56</v>
      </c>
      <c r="L191" s="121"/>
      <c r="M191" s="121"/>
      <c r="N191" s="121" t="s">
        <v>39</v>
      </c>
      <c r="O191" s="121" t="s">
        <v>40</v>
      </c>
      <c r="P191" s="121" t="s">
        <v>57</v>
      </c>
      <c r="Q191" s="121" t="s">
        <v>58</v>
      </c>
      <c r="R191" s="124"/>
      <c r="S191" s="124"/>
      <c r="T191" s="124"/>
      <c r="U191" s="121"/>
      <c r="V191" s="121"/>
      <c r="W191" s="121" t="s">
        <v>1123</v>
      </c>
      <c r="X191" s="121" t="s">
        <v>1118</v>
      </c>
      <c r="Z191" s="120">
        <v>46249</v>
      </c>
      <c r="AA191" s="118" t="s">
        <v>1119</v>
      </c>
      <c r="AB191" s="118" t="s">
        <v>74</v>
      </c>
    </row>
    <row r="192" spans="1:28" ht="30" hidden="1" x14ac:dyDescent="0.25">
      <c r="A192" s="142" t="s">
        <v>1124</v>
      </c>
      <c r="B192" s="121" t="s">
        <v>579</v>
      </c>
      <c r="C192" s="121"/>
      <c r="D192" s="121" t="s">
        <v>579</v>
      </c>
      <c r="E192" s="121"/>
      <c r="F192" s="121" t="s">
        <v>576</v>
      </c>
      <c r="G192" s="121" t="s">
        <v>143</v>
      </c>
      <c r="H192" s="121"/>
      <c r="I192" s="121" t="s">
        <v>82</v>
      </c>
      <c r="J192" s="121" t="s">
        <v>55</v>
      </c>
      <c r="K192" s="121" t="s">
        <v>56</v>
      </c>
      <c r="L192" s="121"/>
      <c r="M192" s="121"/>
      <c r="N192" s="121" t="s">
        <v>39</v>
      </c>
      <c r="O192" s="121"/>
      <c r="P192" s="121" t="s">
        <v>41</v>
      </c>
      <c r="Q192" s="121" t="s">
        <v>58</v>
      </c>
      <c r="R192" s="124">
        <v>46266</v>
      </c>
      <c r="S192" s="124"/>
      <c r="T192" s="124">
        <v>46325</v>
      </c>
      <c r="U192" s="121"/>
      <c r="V192" s="121"/>
      <c r="W192" s="121"/>
      <c r="X192" s="121"/>
      <c r="Z192" s="120">
        <v>46262</v>
      </c>
      <c r="AA192" s="118" t="s">
        <v>709</v>
      </c>
      <c r="AB192" s="118" t="s">
        <v>514</v>
      </c>
    </row>
    <row r="193" spans="1:28" ht="30" hidden="1" x14ac:dyDescent="0.25">
      <c r="A193" s="142" t="s">
        <v>1125</v>
      </c>
      <c r="B193" s="121" t="s">
        <v>1126</v>
      </c>
      <c r="C193" s="121"/>
      <c r="D193" s="121" t="s">
        <v>575</v>
      </c>
      <c r="E193" s="121"/>
      <c r="F193" s="121" t="s">
        <v>576</v>
      </c>
      <c r="G193" s="121" t="s">
        <v>143</v>
      </c>
      <c r="H193" s="121"/>
      <c r="I193" s="121" t="s">
        <v>82</v>
      </c>
      <c r="J193" s="121" t="s">
        <v>55</v>
      </c>
      <c r="K193" s="121" t="s">
        <v>56</v>
      </c>
      <c r="L193" s="121"/>
      <c r="M193" s="121"/>
      <c r="N193" s="121" t="s">
        <v>39</v>
      </c>
      <c r="O193" s="121" t="s">
        <v>40</v>
      </c>
      <c r="P193" s="121" t="s">
        <v>41</v>
      </c>
      <c r="Q193" s="121" t="s">
        <v>42</v>
      </c>
      <c r="R193" s="124">
        <v>46235</v>
      </c>
      <c r="S193" s="124"/>
      <c r="T193" s="124">
        <v>46325</v>
      </c>
      <c r="U193" s="121"/>
      <c r="V193" s="121"/>
      <c r="W193" s="121"/>
      <c r="X193" s="121"/>
      <c r="Z193" s="120">
        <v>46234</v>
      </c>
      <c r="AA193" s="118" t="s">
        <v>709</v>
      </c>
      <c r="AB193" s="118" t="s">
        <v>514</v>
      </c>
    </row>
    <row r="194" spans="1:28" ht="75" hidden="1" x14ac:dyDescent="0.25">
      <c r="A194" s="142" t="s">
        <v>1127</v>
      </c>
      <c r="B194" s="121" t="s">
        <v>1128</v>
      </c>
      <c r="C194" s="121"/>
      <c r="D194" s="121" t="s">
        <v>800</v>
      </c>
      <c r="E194" s="121" t="s">
        <v>801</v>
      </c>
      <c r="F194" s="121" t="s">
        <v>101</v>
      </c>
      <c r="G194" s="121" t="s">
        <v>143</v>
      </c>
      <c r="H194" s="121"/>
      <c r="I194" s="121" t="s">
        <v>103</v>
      </c>
      <c r="J194" s="121" t="s">
        <v>55</v>
      </c>
      <c r="K194" s="121" t="s">
        <v>56</v>
      </c>
      <c r="L194" s="121"/>
      <c r="M194" s="121"/>
      <c r="N194" s="121" t="s">
        <v>39</v>
      </c>
      <c r="O194" s="121" t="s">
        <v>40</v>
      </c>
      <c r="P194" s="121" t="s">
        <v>41</v>
      </c>
      <c r="Q194" s="121" t="s">
        <v>58</v>
      </c>
      <c r="R194" s="124">
        <v>46083</v>
      </c>
      <c r="S194" s="124">
        <v>46104</v>
      </c>
      <c r="T194" s="124">
        <v>46112</v>
      </c>
      <c r="U194" s="121"/>
      <c r="V194" s="121" t="s">
        <v>43</v>
      </c>
      <c r="W194" s="121" t="s">
        <v>1878</v>
      </c>
      <c r="X194" s="121" t="s">
        <v>1129</v>
      </c>
      <c r="Y194" s="120">
        <v>46108</v>
      </c>
      <c r="Z194" s="120">
        <v>46108</v>
      </c>
      <c r="AA194" s="118" t="s">
        <v>45</v>
      </c>
      <c r="AB194" s="118" t="s">
        <v>74</v>
      </c>
    </row>
    <row r="195" spans="1:28" ht="42.6" hidden="1" customHeight="1" x14ac:dyDescent="0.25">
      <c r="A195" s="142" t="s">
        <v>1130</v>
      </c>
      <c r="B195" s="121" t="s">
        <v>1131</v>
      </c>
      <c r="C195" s="121"/>
      <c r="D195" s="121" t="s">
        <v>865</v>
      </c>
      <c r="E195" s="121"/>
      <c r="F195" s="121" t="s">
        <v>190</v>
      </c>
      <c r="G195" s="121" t="s">
        <v>349</v>
      </c>
      <c r="H195" s="121"/>
      <c r="I195" s="121" t="s">
        <v>54</v>
      </c>
      <c r="J195" s="121"/>
      <c r="K195" s="121" t="s">
        <v>56</v>
      </c>
      <c r="L195" s="121" t="s">
        <v>104</v>
      </c>
      <c r="M195" s="121"/>
      <c r="N195" s="121" t="s">
        <v>39</v>
      </c>
      <c r="O195" s="121"/>
      <c r="P195" s="121" t="s">
        <v>57</v>
      </c>
      <c r="Q195" s="121" t="s">
        <v>58</v>
      </c>
      <c r="R195" s="124">
        <v>46113</v>
      </c>
      <c r="S195" s="124"/>
      <c r="T195" s="124"/>
      <c r="U195" s="121"/>
      <c r="V195" s="121" t="s">
        <v>84</v>
      </c>
      <c r="W195" s="121" t="s">
        <v>1132</v>
      </c>
      <c r="X195" s="121" t="s">
        <v>1879</v>
      </c>
      <c r="Y195" s="120">
        <v>46108</v>
      </c>
      <c r="Z195" s="120">
        <v>46115</v>
      </c>
      <c r="AA195" s="118" t="s">
        <v>671</v>
      </c>
      <c r="AB195" s="118" t="s">
        <v>74</v>
      </c>
    </row>
    <row r="196" spans="1:28" ht="45" hidden="1" x14ac:dyDescent="0.25">
      <c r="A196" s="142" t="s">
        <v>1133</v>
      </c>
      <c r="B196" s="121" t="s">
        <v>569</v>
      </c>
      <c r="C196" s="121"/>
      <c r="D196" s="121" t="s">
        <v>569</v>
      </c>
      <c r="E196" s="121" t="s">
        <v>859</v>
      </c>
      <c r="F196" s="121" t="s">
        <v>570</v>
      </c>
      <c r="G196" s="121" t="s">
        <v>143</v>
      </c>
      <c r="H196" s="121"/>
      <c r="I196" s="121" t="s">
        <v>103</v>
      </c>
      <c r="J196" s="121" t="s">
        <v>55</v>
      </c>
      <c r="K196" s="121" t="s">
        <v>56</v>
      </c>
      <c r="L196" s="121"/>
      <c r="M196" s="121"/>
      <c r="N196" s="121" t="s">
        <v>39</v>
      </c>
      <c r="O196" s="121" t="s">
        <v>40</v>
      </c>
      <c r="P196" s="121" t="s">
        <v>105</v>
      </c>
      <c r="Q196" s="121" t="s">
        <v>42</v>
      </c>
      <c r="R196" s="124">
        <v>46235</v>
      </c>
      <c r="S196" s="124"/>
      <c r="T196" s="124">
        <v>46283</v>
      </c>
      <c r="U196" s="121"/>
      <c r="V196" s="121" t="s">
        <v>84</v>
      </c>
      <c r="W196" s="121"/>
      <c r="X196" s="121"/>
      <c r="Z196" s="120">
        <v>46234</v>
      </c>
      <c r="AA196" s="118" t="s">
        <v>709</v>
      </c>
      <c r="AB196" s="118" t="s">
        <v>514</v>
      </c>
    </row>
    <row r="197" spans="1:28" ht="60" hidden="1" x14ac:dyDescent="0.25">
      <c r="A197" s="142" t="s">
        <v>1134</v>
      </c>
      <c r="B197" s="121" t="s">
        <v>1135</v>
      </c>
      <c r="C197" s="121"/>
      <c r="D197" s="121" t="s">
        <v>853</v>
      </c>
      <c r="E197" s="121" t="s">
        <v>854</v>
      </c>
      <c r="F197" s="121" t="s">
        <v>583</v>
      </c>
      <c r="G197" s="121" t="s">
        <v>143</v>
      </c>
      <c r="H197" s="121"/>
      <c r="I197" s="121" t="s">
        <v>103</v>
      </c>
      <c r="J197" s="121" t="s">
        <v>55</v>
      </c>
      <c r="K197" s="121" t="s">
        <v>56</v>
      </c>
      <c r="L197" s="121"/>
      <c r="M197" s="121"/>
      <c r="N197" s="121" t="s">
        <v>39</v>
      </c>
      <c r="O197" s="121" t="s">
        <v>40</v>
      </c>
      <c r="P197" s="121" t="s">
        <v>105</v>
      </c>
      <c r="Q197" s="121" t="s">
        <v>42</v>
      </c>
      <c r="R197" s="124">
        <v>46111</v>
      </c>
      <c r="S197" s="124"/>
      <c r="T197" s="124">
        <v>46234</v>
      </c>
      <c r="U197" s="121"/>
      <c r="V197" s="121" t="s">
        <v>59</v>
      </c>
      <c r="W197" s="121"/>
      <c r="X197" s="121" t="s">
        <v>1880</v>
      </c>
      <c r="Y197" s="120">
        <v>46108</v>
      </c>
      <c r="Z197" s="120">
        <v>46136</v>
      </c>
      <c r="AA197" s="118" t="s">
        <v>73</v>
      </c>
      <c r="AB197" s="118" t="s">
        <v>74</v>
      </c>
    </row>
    <row r="198" spans="1:28" ht="105" hidden="1" x14ac:dyDescent="0.25">
      <c r="A198" s="142" t="s">
        <v>1137</v>
      </c>
      <c r="B198" s="121" t="s">
        <v>1138</v>
      </c>
      <c r="C198" s="121" t="s">
        <v>1139</v>
      </c>
      <c r="D198" s="121" t="s">
        <v>565</v>
      </c>
      <c r="E198" s="121"/>
      <c r="F198" s="121" t="s">
        <v>101</v>
      </c>
      <c r="G198" s="121" t="s">
        <v>120</v>
      </c>
      <c r="H198" s="121" t="s">
        <v>845</v>
      </c>
      <c r="I198" s="121" t="s">
        <v>103</v>
      </c>
      <c r="J198" s="121" t="s">
        <v>55</v>
      </c>
      <c r="K198" s="121" t="s">
        <v>56</v>
      </c>
      <c r="L198" s="121" t="s">
        <v>104</v>
      </c>
      <c r="M198" s="121" t="s">
        <v>266</v>
      </c>
      <c r="N198" s="121" t="s">
        <v>39</v>
      </c>
      <c r="O198" s="121" t="s">
        <v>40</v>
      </c>
      <c r="P198" s="121" t="s">
        <v>105</v>
      </c>
      <c r="Q198" s="121" t="s">
        <v>344</v>
      </c>
      <c r="R198" s="124">
        <v>46235</v>
      </c>
      <c r="S198" s="124"/>
      <c r="T198" s="124">
        <v>46344</v>
      </c>
      <c r="U198" s="121"/>
      <c r="V198" s="121" t="s">
        <v>43</v>
      </c>
      <c r="W198" s="121" t="s">
        <v>1140</v>
      </c>
      <c r="X198" s="121" t="s">
        <v>1881</v>
      </c>
      <c r="Y198" s="120">
        <v>46108</v>
      </c>
      <c r="Z198" s="120">
        <v>46115</v>
      </c>
      <c r="AA198" s="118" t="s">
        <v>73</v>
      </c>
      <c r="AB198" s="118" t="s">
        <v>74</v>
      </c>
    </row>
    <row r="199" spans="1:28" ht="45" hidden="1" x14ac:dyDescent="0.25">
      <c r="A199" s="142" t="s">
        <v>1141</v>
      </c>
      <c r="B199" s="121" t="s">
        <v>1142</v>
      </c>
      <c r="C199" s="121"/>
      <c r="D199" s="121" t="s">
        <v>840</v>
      </c>
      <c r="E199" s="121"/>
      <c r="F199" s="121" t="s">
        <v>101</v>
      </c>
      <c r="G199" s="121" t="s">
        <v>1143</v>
      </c>
      <c r="H199" s="121"/>
      <c r="I199" s="121" t="s">
        <v>103</v>
      </c>
      <c r="J199" s="121" t="s">
        <v>55</v>
      </c>
      <c r="K199" s="121" t="s">
        <v>56</v>
      </c>
      <c r="L199" s="121"/>
      <c r="M199" s="121"/>
      <c r="N199" s="121" t="s">
        <v>39</v>
      </c>
      <c r="O199" s="121" t="s">
        <v>40</v>
      </c>
      <c r="P199" s="121" t="s">
        <v>105</v>
      </c>
      <c r="Q199" s="121" t="s">
        <v>57</v>
      </c>
      <c r="R199" s="124">
        <v>46038</v>
      </c>
      <c r="S199" s="124"/>
      <c r="T199" s="124">
        <v>46344</v>
      </c>
      <c r="U199" s="121"/>
      <c r="V199" s="121" t="s">
        <v>43</v>
      </c>
      <c r="W199" s="121" t="s">
        <v>1144</v>
      </c>
      <c r="X199" s="121" t="s">
        <v>1145</v>
      </c>
      <c r="Y199" s="120">
        <v>46087</v>
      </c>
      <c r="Z199" s="120">
        <v>46206</v>
      </c>
      <c r="AA199" s="118" t="s">
        <v>73</v>
      </c>
      <c r="AB199" s="118" t="s">
        <v>74</v>
      </c>
    </row>
    <row r="200" spans="1:28" ht="30" hidden="1" x14ac:dyDescent="0.25">
      <c r="A200" s="142" t="s">
        <v>1146</v>
      </c>
      <c r="B200" s="121" t="s">
        <v>100</v>
      </c>
      <c r="C200" s="121"/>
      <c r="D200" s="121" t="s">
        <v>100</v>
      </c>
      <c r="E200" s="121"/>
      <c r="F200" s="121" t="s">
        <v>101</v>
      </c>
      <c r="G200" s="121" t="s">
        <v>102</v>
      </c>
      <c r="H200" s="121"/>
      <c r="I200" s="121" t="s">
        <v>103</v>
      </c>
      <c r="J200" s="121" t="s">
        <v>55</v>
      </c>
      <c r="K200" s="121" t="s">
        <v>56</v>
      </c>
      <c r="L200" s="121"/>
      <c r="M200" s="121"/>
      <c r="N200" s="121" t="s">
        <v>39</v>
      </c>
      <c r="O200" s="121" t="s">
        <v>40</v>
      </c>
      <c r="P200" s="121" t="s">
        <v>105</v>
      </c>
      <c r="Q200" s="121" t="s">
        <v>57</v>
      </c>
      <c r="R200" s="124">
        <v>46143</v>
      </c>
      <c r="S200" s="124"/>
      <c r="T200" s="124">
        <v>46234</v>
      </c>
      <c r="U200" s="121"/>
      <c r="V200" s="121" t="s">
        <v>43</v>
      </c>
      <c r="W200" s="121" t="s">
        <v>1147</v>
      </c>
      <c r="X200" s="121" t="s">
        <v>1148</v>
      </c>
      <c r="Z200" s="120">
        <v>46136</v>
      </c>
      <c r="AA200" s="118" t="s">
        <v>709</v>
      </c>
      <c r="AB200" s="118" t="s">
        <v>514</v>
      </c>
    </row>
    <row r="201" spans="1:28" ht="60" hidden="1" x14ac:dyDescent="0.25">
      <c r="A201" s="142" t="s">
        <v>1149</v>
      </c>
      <c r="B201" s="121" t="s">
        <v>1150</v>
      </c>
      <c r="C201" s="121"/>
      <c r="D201" s="121" t="s">
        <v>100</v>
      </c>
      <c r="E201" s="121"/>
      <c r="F201" s="121" t="s">
        <v>101</v>
      </c>
      <c r="G201" s="121" t="s">
        <v>102</v>
      </c>
      <c r="H201" s="121"/>
      <c r="I201" s="121" t="s">
        <v>103</v>
      </c>
      <c r="J201" s="121" t="s">
        <v>55</v>
      </c>
      <c r="K201" s="121" t="s">
        <v>56</v>
      </c>
      <c r="L201" s="121"/>
      <c r="M201" s="121"/>
      <c r="N201" s="121" t="s">
        <v>39</v>
      </c>
      <c r="O201" s="121" t="s">
        <v>40</v>
      </c>
      <c r="P201" s="121" t="s">
        <v>105</v>
      </c>
      <c r="Q201" s="121" t="s">
        <v>57</v>
      </c>
      <c r="R201" s="124">
        <v>46115</v>
      </c>
      <c r="S201" s="124"/>
      <c r="T201" s="124">
        <v>46142</v>
      </c>
      <c r="U201" s="121"/>
      <c r="V201" s="121" t="s">
        <v>43</v>
      </c>
      <c r="W201" s="121" t="s">
        <v>1151</v>
      </c>
      <c r="X201" s="121" t="s">
        <v>1882</v>
      </c>
      <c r="Y201" s="120">
        <v>46108</v>
      </c>
      <c r="Z201" s="120">
        <v>46122</v>
      </c>
      <c r="AA201" s="118" t="s">
        <v>73</v>
      </c>
      <c r="AB201" s="118" t="s">
        <v>74</v>
      </c>
    </row>
    <row r="202" spans="1:28" ht="45" hidden="1" x14ac:dyDescent="0.25">
      <c r="A202" s="142" t="s">
        <v>1152</v>
      </c>
      <c r="B202" s="121" t="s">
        <v>1153</v>
      </c>
      <c r="C202" s="121" t="s">
        <v>1154</v>
      </c>
      <c r="D202" s="121" t="s">
        <v>753</v>
      </c>
      <c r="E202" s="121"/>
      <c r="F202" s="121" t="s">
        <v>240</v>
      </c>
      <c r="G202" s="121" t="s">
        <v>102</v>
      </c>
      <c r="H202" s="121"/>
      <c r="I202" s="121" t="s">
        <v>551</v>
      </c>
      <c r="J202" s="121" t="s">
        <v>55</v>
      </c>
      <c r="K202" s="121" t="s">
        <v>56</v>
      </c>
      <c r="L202" s="121"/>
      <c r="M202" s="121"/>
      <c r="N202" s="121" t="s">
        <v>39</v>
      </c>
      <c r="O202" s="121" t="s">
        <v>40</v>
      </c>
      <c r="P202" s="121" t="s">
        <v>41</v>
      </c>
      <c r="Q202" s="121" t="s">
        <v>57</v>
      </c>
      <c r="R202" s="124">
        <v>46251</v>
      </c>
      <c r="S202" s="124"/>
      <c r="T202" s="124">
        <v>46274</v>
      </c>
      <c r="U202" s="121"/>
      <c r="V202" s="121" t="s">
        <v>59</v>
      </c>
      <c r="W202" s="121"/>
      <c r="X202" s="121"/>
      <c r="Z202" s="120">
        <v>46248</v>
      </c>
      <c r="AA202" s="118" t="s">
        <v>709</v>
      </c>
      <c r="AB202" s="118" t="s">
        <v>514</v>
      </c>
    </row>
    <row r="203" spans="1:28" ht="285" hidden="1" x14ac:dyDescent="0.25">
      <c r="A203" s="142">
        <v>180</v>
      </c>
      <c r="B203" s="121" t="s">
        <v>1155</v>
      </c>
      <c r="C203" s="121"/>
      <c r="D203" s="121" t="s">
        <v>1156</v>
      </c>
      <c r="E203" s="121" t="s">
        <v>1157</v>
      </c>
      <c r="F203" s="121" t="s">
        <v>576</v>
      </c>
      <c r="G203" s="121" t="s">
        <v>68</v>
      </c>
      <c r="H203" s="121" t="s">
        <v>1158</v>
      </c>
      <c r="I203" s="121" t="s">
        <v>82</v>
      </c>
      <c r="J203" s="121" t="s">
        <v>70</v>
      </c>
      <c r="K203" s="121" t="s">
        <v>83</v>
      </c>
      <c r="L203" s="121" t="s">
        <v>71</v>
      </c>
      <c r="M203" s="121" t="s">
        <v>1159</v>
      </c>
      <c r="N203" s="121" t="s">
        <v>39</v>
      </c>
      <c r="O203" s="121" t="s">
        <v>40</v>
      </c>
      <c r="P203" s="121" t="s">
        <v>300</v>
      </c>
      <c r="Q203" s="121" t="s">
        <v>58</v>
      </c>
      <c r="R203" s="124">
        <v>46003</v>
      </c>
      <c r="S203" s="124">
        <v>46010</v>
      </c>
      <c r="T203" s="124">
        <v>46010</v>
      </c>
      <c r="U203" s="121"/>
      <c r="V203" s="121" t="s">
        <v>84</v>
      </c>
      <c r="W203" s="121" t="s">
        <v>1160</v>
      </c>
      <c r="X203" s="121" t="s">
        <v>1161</v>
      </c>
      <c r="Y203" s="120">
        <v>46374</v>
      </c>
      <c r="Z203" s="120">
        <v>46031</v>
      </c>
      <c r="AA203" s="118" t="s">
        <v>45</v>
      </c>
      <c r="AB203" s="118" t="s">
        <v>74</v>
      </c>
    </row>
    <row r="204" spans="1:28" ht="30" hidden="1" x14ac:dyDescent="0.25">
      <c r="A204" s="142" t="s">
        <v>1162</v>
      </c>
      <c r="B204" s="121" t="s">
        <v>555</v>
      </c>
      <c r="C204" s="121"/>
      <c r="D204" s="121" t="s">
        <v>556</v>
      </c>
      <c r="E204" s="121"/>
      <c r="F204" s="121" t="s">
        <v>557</v>
      </c>
      <c r="G204" s="121" t="s">
        <v>828</v>
      </c>
      <c r="H204" s="121"/>
      <c r="I204" s="121" t="s">
        <v>551</v>
      </c>
      <c r="J204" s="121" t="s">
        <v>55</v>
      </c>
      <c r="K204" s="121" t="s">
        <v>56</v>
      </c>
      <c r="L204" s="121"/>
      <c r="M204" s="121"/>
      <c r="N204" s="121" t="s">
        <v>39</v>
      </c>
      <c r="O204" s="121"/>
      <c r="P204" s="121" t="s">
        <v>57</v>
      </c>
      <c r="Q204" s="121" t="s">
        <v>301</v>
      </c>
      <c r="R204" s="124">
        <v>46357</v>
      </c>
      <c r="S204" s="124"/>
      <c r="T204" s="124">
        <v>46377</v>
      </c>
      <c r="U204" s="121"/>
      <c r="V204" s="121" t="s">
        <v>84</v>
      </c>
      <c r="W204" s="121"/>
      <c r="X204" s="121"/>
      <c r="Z204" s="120">
        <v>46353</v>
      </c>
      <c r="AA204" s="118" t="s">
        <v>709</v>
      </c>
      <c r="AB204" s="118" t="s">
        <v>514</v>
      </c>
    </row>
    <row r="205" spans="1:28" ht="60" hidden="1" x14ac:dyDescent="0.25">
      <c r="A205" s="142" t="s">
        <v>1163</v>
      </c>
      <c r="B205" s="121" t="s">
        <v>1164</v>
      </c>
      <c r="C205" s="121"/>
      <c r="D205" s="121" t="s">
        <v>547</v>
      </c>
      <c r="E205" s="121" t="s">
        <v>548</v>
      </c>
      <c r="F205" s="121" t="s">
        <v>549</v>
      </c>
      <c r="G205" s="121" t="s">
        <v>1165</v>
      </c>
      <c r="H205" s="121"/>
      <c r="I205" s="121" t="s">
        <v>551</v>
      </c>
      <c r="J205" s="121" t="s">
        <v>55</v>
      </c>
      <c r="K205" s="121" t="s">
        <v>56</v>
      </c>
      <c r="L205" s="121"/>
      <c r="M205" s="121"/>
      <c r="N205" s="121" t="s">
        <v>39</v>
      </c>
      <c r="O205" s="121" t="s">
        <v>40</v>
      </c>
      <c r="P205" s="121" t="s">
        <v>105</v>
      </c>
      <c r="Q205" s="121" t="s">
        <v>57</v>
      </c>
      <c r="R205" s="124">
        <v>46204</v>
      </c>
      <c r="S205" s="124"/>
      <c r="T205" s="124">
        <v>46297</v>
      </c>
      <c r="U205" s="121"/>
      <c r="V205" s="121" t="s">
        <v>43</v>
      </c>
      <c r="W205" s="121"/>
      <c r="X205" s="121"/>
      <c r="Z205" s="120">
        <v>46199</v>
      </c>
      <c r="AA205" s="118" t="s">
        <v>709</v>
      </c>
      <c r="AB205" s="118" t="s">
        <v>514</v>
      </c>
    </row>
    <row r="206" spans="1:28" ht="75" hidden="1" x14ac:dyDescent="0.25">
      <c r="A206" s="142" t="s">
        <v>1166</v>
      </c>
      <c r="B206" s="121" t="s">
        <v>1167</v>
      </c>
      <c r="C206" s="121"/>
      <c r="D206" s="121" t="s">
        <v>739</v>
      </c>
      <c r="E206" s="121" t="s">
        <v>740</v>
      </c>
      <c r="F206" s="121" t="s">
        <v>741</v>
      </c>
      <c r="G206" s="121" t="s">
        <v>465</v>
      </c>
      <c r="H206" s="121"/>
      <c r="I206" s="121" t="s">
        <v>35</v>
      </c>
      <c r="J206" s="121" t="s">
        <v>55</v>
      </c>
      <c r="K206" s="121" t="s">
        <v>56</v>
      </c>
      <c r="L206" s="121"/>
      <c r="M206" s="121"/>
      <c r="N206" s="121" t="s">
        <v>39</v>
      </c>
      <c r="O206" s="121" t="s">
        <v>40</v>
      </c>
      <c r="P206" s="121" t="s">
        <v>105</v>
      </c>
      <c r="Q206" s="121" t="s">
        <v>57</v>
      </c>
      <c r="R206" s="124">
        <v>46055</v>
      </c>
      <c r="S206" s="124">
        <v>46107</v>
      </c>
      <c r="T206" s="124">
        <v>46135</v>
      </c>
      <c r="U206" s="121"/>
      <c r="V206" s="121" t="s">
        <v>43</v>
      </c>
      <c r="W206" s="121" t="s">
        <v>1168</v>
      </c>
      <c r="X206" s="121" t="s">
        <v>1169</v>
      </c>
      <c r="Y206" s="120">
        <v>46108</v>
      </c>
      <c r="Z206" s="120">
        <v>46108</v>
      </c>
      <c r="AA206" s="118" t="s">
        <v>45</v>
      </c>
      <c r="AB206" s="118" t="s">
        <v>74</v>
      </c>
    </row>
    <row r="207" spans="1:28" ht="60" hidden="1" x14ac:dyDescent="0.25">
      <c r="A207" s="142" t="s">
        <v>1170</v>
      </c>
      <c r="B207" s="121" t="s">
        <v>76</v>
      </c>
      <c r="C207" s="121" t="s">
        <v>1171</v>
      </c>
      <c r="D207" s="121" t="s">
        <v>1172</v>
      </c>
      <c r="E207" s="121" t="s">
        <v>1173</v>
      </c>
      <c r="F207" s="121"/>
      <c r="G207" s="121" t="s">
        <v>53</v>
      </c>
      <c r="H207" s="121" t="s">
        <v>1174</v>
      </c>
      <c r="I207" s="121" t="s">
        <v>82</v>
      </c>
      <c r="J207" s="121" t="s">
        <v>70</v>
      </c>
      <c r="K207" s="121" t="s">
        <v>83</v>
      </c>
      <c r="L207" s="121" t="s">
        <v>71</v>
      </c>
      <c r="M207" s="121"/>
      <c r="N207" s="121" t="s">
        <v>39</v>
      </c>
      <c r="O207" s="121" t="s">
        <v>40</v>
      </c>
      <c r="P207" s="121" t="s">
        <v>41</v>
      </c>
      <c r="Q207" s="121" t="s">
        <v>58</v>
      </c>
      <c r="R207" s="124">
        <v>46119</v>
      </c>
      <c r="S207" s="124"/>
      <c r="T207" s="124">
        <v>46171</v>
      </c>
      <c r="U207" s="121"/>
      <c r="V207" s="121" t="s">
        <v>96</v>
      </c>
      <c r="W207" s="121" t="s">
        <v>1175</v>
      </c>
      <c r="X207" s="121"/>
      <c r="Y207" s="120">
        <v>46028</v>
      </c>
      <c r="Z207" s="120">
        <v>46122</v>
      </c>
      <c r="AA207" s="118" t="s">
        <v>671</v>
      </c>
      <c r="AB207" s="118" t="s">
        <v>74</v>
      </c>
    </row>
    <row r="208" spans="1:28" ht="75" hidden="1" x14ac:dyDescent="0.25">
      <c r="A208" s="142" t="s">
        <v>1152</v>
      </c>
      <c r="B208" s="121" t="s">
        <v>1153</v>
      </c>
      <c r="C208" s="121" t="s">
        <v>1176</v>
      </c>
      <c r="D208" s="121" t="s">
        <v>753</v>
      </c>
      <c r="E208" s="121"/>
      <c r="F208" s="121" t="s">
        <v>240</v>
      </c>
      <c r="G208" s="121" t="s">
        <v>465</v>
      </c>
      <c r="H208" s="121" t="s">
        <v>563</v>
      </c>
      <c r="I208" s="121" t="s">
        <v>551</v>
      </c>
      <c r="J208" s="121" t="s">
        <v>55</v>
      </c>
      <c r="K208" s="121" t="s">
        <v>56</v>
      </c>
      <c r="L208" s="121"/>
      <c r="M208" s="121"/>
      <c r="N208" s="121" t="s">
        <v>39</v>
      </c>
      <c r="O208" s="121" t="s">
        <v>40</v>
      </c>
      <c r="P208" s="121" t="s">
        <v>41</v>
      </c>
      <c r="Q208" s="121" t="s">
        <v>57</v>
      </c>
      <c r="R208" s="124">
        <v>46038</v>
      </c>
      <c r="S208" s="124">
        <v>46066</v>
      </c>
      <c r="T208" s="124">
        <v>46066</v>
      </c>
      <c r="U208" s="121"/>
      <c r="V208" s="121" t="s">
        <v>59</v>
      </c>
      <c r="W208" s="121" t="s">
        <v>1177</v>
      </c>
      <c r="X208" s="121"/>
      <c r="Y208" s="120">
        <v>46066</v>
      </c>
      <c r="Z208" s="120">
        <v>46066</v>
      </c>
      <c r="AA208" s="118" t="s">
        <v>45</v>
      </c>
      <c r="AB208" s="118" t="s">
        <v>74</v>
      </c>
    </row>
    <row r="209" spans="1:28" ht="75" hidden="1" x14ac:dyDescent="0.25">
      <c r="A209" s="142" t="s">
        <v>1178</v>
      </c>
      <c r="B209" s="121" t="s">
        <v>1099</v>
      </c>
      <c r="C209" s="121" t="s">
        <v>1179</v>
      </c>
      <c r="D209" s="121" t="s">
        <v>1180</v>
      </c>
      <c r="E209" s="121"/>
      <c r="F209" s="121" t="s">
        <v>148</v>
      </c>
      <c r="G209" s="121" t="s">
        <v>519</v>
      </c>
      <c r="H209" s="121" t="s">
        <v>1102</v>
      </c>
      <c r="I209" s="121" t="s">
        <v>69</v>
      </c>
      <c r="J209" s="121" t="s">
        <v>70</v>
      </c>
      <c r="K209" s="121" t="s">
        <v>83</v>
      </c>
      <c r="L209" s="121" t="s">
        <v>104</v>
      </c>
      <c r="M209" s="121" t="s">
        <v>72</v>
      </c>
      <c r="N209" s="121" t="s">
        <v>39</v>
      </c>
      <c r="O209" s="121" t="s">
        <v>40</v>
      </c>
      <c r="P209" s="121" t="s">
        <v>41</v>
      </c>
      <c r="Q209" s="121" t="s">
        <v>42</v>
      </c>
      <c r="R209" s="124">
        <v>45943</v>
      </c>
      <c r="S209" s="124"/>
      <c r="T209" s="124">
        <v>46112</v>
      </c>
      <c r="U209" s="121"/>
      <c r="V209" s="121" t="s">
        <v>59</v>
      </c>
      <c r="W209" s="121" t="s">
        <v>1181</v>
      </c>
      <c r="X209" s="121" t="s">
        <v>1182</v>
      </c>
      <c r="Y209" s="120">
        <v>46108</v>
      </c>
      <c r="Z209" s="120" t="s">
        <v>1888</v>
      </c>
      <c r="AA209" s="118" t="s">
        <v>73</v>
      </c>
      <c r="AB209" s="118" t="s">
        <v>74</v>
      </c>
    </row>
    <row r="210" spans="1:28" ht="75" hidden="1" x14ac:dyDescent="0.25">
      <c r="A210" s="142" t="s">
        <v>1183</v>
      </c>
      <c r="B210" s="121" t="s">
        <v>1184</v>
      </c>
      <c r="C210" s="121"/>
      <c r="D210" s="121" t="s">
        <v>1185</v>
      </c>
      <c r="E210" s="121" t="s">
        <v>1186</v>
      </c>
      <c r="F210" s="121" t="s">
        <v>119</v>
      </c>
      <c r="G210" s="121" t="s">
        <v>1187</v>
      </c>
      <c r="H210" s="121" t="s">
        <v>448</v>
      </c>
      <c r="I210" s="121" t="s">
        <v>103</v>
      </c>
      <c r="J210" s="121" t="s">
        <v>70</v>
      </c>
      <c r="K210" s="121" t="s">
        <v>83</v>
      </c>
      <c r="L210" s="121" t="s">
        <v>104</v>
      </c>
      <c r="M210" s="121" t="s">
        <v>72</v>
      </c>
      <c r="N210" s="121" t="s">
        <v>39</v>
      </c>
      <c r="O210" s="121" t="s">
        <v>40</v>
      </c>
      <c r="P210" s="121" t="s">
        <v>41</v>
      </c>
      <c r="Q210" s="121" t="s">
        <v>42</v>
      </c>
      <c r="R210" s="124">
        <v>46038</v>
      </c>
      <c r="S210" s="124"/>
      <c r="T210" s="124">
        <v>46112</v>
      </c>
      <c r="U210" s="121"/>
      <c r="V210" s="121" t="s">
        <v>96</v>
      </c>
      <c r="W210" s="121" t="s">
        <v>1188</v>
      </c>
      <c r="X210" s="121" t="s">
        <v>1189</v>
      </c>
      <c r="Y210" s="120">
        <v>46080</v>
      </c>
      <c r="Z210" s="120">
        <v>46115</v>
      </c>
      <c r="AA210" s="118" t="s">
        <v>73</v>
      </c>
      <c r="AB210" s="118" t="s">
        <v>74</v>
      </c>
    </row>
    <row r="211" spans="1:28" ht="75" hidden="1" x14ac:dyDescent="0.25">
      <c r="A211" s="142" t="s">
        <v>1190</v>
      </c>
      <c r="B211" s="121" t="s">
        <v>1191</v>
      </c>
      <c r="C211" s="121"/>
      <c r="D211" s="121" t="s">
        <v>1192</v>
      </c>
      <c r="E211" s="121" t="s">
        <v>768</v>
      </c>
      <c r="F211" s="121" t="s">
        <v>1193</v>
      </c>
      <c r="G211" s="121" t="s">
        <v>323</v>
      </c>
      <c r="H211" s="121" t="s">
        <v>1194</v>
      </c>
      <c r="I211" s="121" t="s">
        <v>103</v>
      </c>
      <c r="J211" s="121" t="s">
        <v>70</v>
      </c>
      <c r="K211" s="121" t="s">
        <v>83</v>
      </c>
      <c r="L211" s="121" t="s">
        <v>104</v>
      </c>
      <c r="M211" s="121" t="s">
        <v>72</v>
      </c>
      <c r="N211" s="121" t="s">
        <v>39</v>
      </c>
      <c r="O211" s="121" t="s">
        <v>40</v>
      </c>
      <c r="P211" s="121" t="s">
        <v>41</v>
      </c>
      <c r="Q211" s="121" t="s">
        <v>344</v>
      </c>
      <c r="R211" s="124">
        <v>46038</v>
      </c>
      <c r="S211" s="124"/>
      <c r="T211" s="124">
        <v>46295</v>
      </c>
      <c r="U211" s="121"/>
      <c r="V211" s="121" t="s">
        <v>43</v>
      </c>
      <c r="W211" s="121" t="s">
        <v>1195</v>
      </c>
      <c r="X211" s="121" t="s">
        <v>1196</v>
      </c>
      <c r="Y211" s="120">
        <v>46080</v>
      </c>
      <c r="Z211" s="120">
        <v>46115</v>
      </c>
      <c r="AA211" s="118" t="s">
        <v>73</v>
      </c>
      <c r="AB211" s="118" t="s">
        <v>74</v>
      </c>
    </row>
    <row r="212" spans="1:28" ht="210" hidden="1" x14ac:dyDescent="0.25">
      <c r="A212" s="142" t="s">
        <v>1197</v>
      </c>
      <c r="B212" s="121" t="s">
        <v>1198</v>
      </c>
      <c r="C212" s="121" t="s">
        <v>1199</v>
      </c>
      <c r="D212" s="121" t="s">
        <v>1200</v>
      </c>
      <c r="E212" s="121" t="s">
        <v>1201</v>
      </c>
      <c r="F212" s="121" t="s">
        <v>1202</v>
      </c>
      <c r="G212" s="121" t="s">
        <v>52</v>
      </c>
      <c r="H212" s="121" t="s">
        <v>1203</v>
      </c>
      <c r="I212" s="121" t="s">
        <v>69</v>
      </c>
      <c r="J212" s="121" t="s">
        <v>70</v>
      </c>
      <c r="K212" s="121" t="s">
        <v>83</v>
      </c>
      <c r="L212" s="121" t="s">
        <v>104</v>
      </c>
      <c r="M212" s="121" t="s">
        <v>72</v>
      </c>
      <c r="N212" s="121" t="s">
        <v>39</v>
      </c>
      <c r="O212" s="121" t="s">
        <v>39</v>
      </c>
      <c r="P212" s="121" t="s">
        <v>57</v>
      </c>
      <c r="Q212" s="121" t="s">
        <v>42</v>
      </c>
      <c r="R212" s="124">
        <v>46038</v>
      </c>
      <c r="S212" s="124"/>
      <c r="T212" s="124">
        <v>46234</v>
      </c>
      <c r="U212" s="121"/>
      <c r="V212" s="121" t="s">
        <v>96</v>
      </c>
      <c r="W212" s="121" t="s">
        <v>1204</v>
      </c>
      <c r="X212" s="121" t="s">
        <v>1205</v>
      </c>
      <c r="Y212" s="120">
        <v>46094</v>
      </c>
      <c r="Z212" s="120">
        <v>46115</v>
      </c>
      <c r="AA212" s="118" t="s">
        <v>73</v>
      </c>
      <c r="AB212" s="118" t="s">
        <v>74</v>
      </c>
    </row>
    <row r="213" spans="1:28" ht="90" hidden="1" x14ac:dyDescent="0.25">
      <c r="A213" s="142" t="s">
        <v>1206</v>
      </c>
      <c r="B213" s="121" t="s">
        <v>1198</v>
      </c>
      <c r="C213" s="121" t="s">
        <v>1207</v>
      </c>
      <c r="D213" s="121" t="s">
        <v>1200</v>
      </c>
      <c r="E213" s="121" t="s">
        <v>1201</v>
      </c>
      <c r="F213" s="121" t="s">
        <v>1202</v>
      </c>
      <c r="G213" s="121" t="s">
        <v>52</v>
      </c>
      <c r="H213" s="121" t="s">
        <v>1203</v>
      </c>
      <c r="I213" s="121" t="s">
        <v>69</v>
      </c>
      <c r="J213" s="121" t="s">
        <v>70</v>
      </c>
      <c r="K213" s="121" t="s">
        <v>83</v>
      </c>
      <c r="L213" s="121" t="s">
        <v>104</v>
      </c>
      <c r="M213" s="121" t="s">
        <v>72</v>
      </c>
      <c r="N213" s="121" t="s">
        <v>39</v>
      </c>
      <c r="O213" s="121" t="s">
        <v>39</v>
      </c>
      <c r="P213" s="121" t="s">
        <v>57</v>
      </c>
      <c r="Q213" s="121" t="s">
        <v>42</v>
      </c>
      <c r="R213" s="124">
        <v>46038</v>
      </c>
      <c r="S213" s="124"/>
      <c r="T213" s="124">
        <v>46234</v>
      </c>
      <c r="U213" s="121"/>
      <c r="V213" s="121" t="s">
        <v>96</v>
      </c>
      <c r="W213" s="121" t="s">
        <v>1208</v>
      </c>
      <c r="X213" s="121" t="s">
        <v>1209</v>
      </c>
      <c r="Y213" s="120">
        <v>46108</v>
      </c>
      <c r="Z213" s="120">
        <v>46115</v>
      </c>
      <c r="AA213" s="118" t="s">
        <v>73</v>
      </c>
      <c r="AB213" s="118" t="s">
        <v>74</v>
      </c>
    </row>
    <row r="214" spans="1:28" ht="105" hidden="1" x14ac:dyDescent="0.25">
      <c r="A214" s="142" t="s">
        <v>1210</v>
      </c>
      <c r="B214" s="121" t="s">
        <v>1211</v>
      </c>
      <c r="C214" s="121" t="s">
        <v>1212</v>
      </c>
      <c r="D214" s="121"/>
      <c r="E214" s="121" t="s">
        <v>1213</v>
      </c>
      <c r="F214" s="121" t="s">
        <v>119</v>
      </c>
      <c r="G214" s="121"/>
      <c r="H214" s="121"/>
      <c r="I214" s="121" t="s">
        <v>82</v>
      </c>
      <c r="J214" s="121" t="s">
        <v>70</v>
      </c>
      <c r="K214" s="121" t="s">
        <v>83</v>
      </c>
      <c r="L214" s="121"/>
      <c r="M214" s="121"/>
      <c r="N214" s="121" t="s">
        <v>39</v>
      </c>
      <c r="O214" s="121" t="s">
        <v>40</v>
      </c>
      <c r="P214" s="121" t="s">
        <v>57</v>
      </c>
      <c r="Q214" s="121" t="s">
        <v>57</v>
      </c>
      <c r="R214" s="124"/>
      <c r="S214" s="124"/>
      <c r="T214" s="124">
        <v>46112</v>
      </c>
      <c r="U214" s="121"/>
      <c r="V214" s="121" t="s">
        <v>59</v>
      </c>
      <c r="W214" s="121" t="s">
        <v>1214</v>
      </c>
      <c r="X214" s="121" t="s">
        <v>1215</v>
      </c>
      <c r="Y214" s="120">
        <v>46087</v>
      </c>
      <c r="Z214" s="120">
        <v>46081</v>
      </c>
      <c r="AA214" s="118" t="s">
        <v>288</v>
      </c>
      <c r="AB214" s="118" t="s">
        <v>74</v>
      </c>
    </row>
    <row r="215" spans="1:28" ht="30" hidden="1" x14ac:dyDescent="0.25">
      <c r="A215" s="142" t="s">
        <v>1216</v>
      </c>
      <c r="B215" s="121" t="s">
        <v>813</v>
      </c>
      <c r="C215" s="121"/>
      <c r="D215" s="121" t="s">
        <v>813</v>
      </c>
      <c r="E215" s="121"/>
      <c r="F215" s="121" t="s">
        <v>814</v>
      </c>
      <c r="G215" s="121" t="s">
        <v>53</v>
      </c>
      <c r="H215" s="121"/>
      <c r="I215" s="121" t="s">
        <v>82</v>
      </c>
      <c r="J215" s="121" t="s">
        <v>55</v>
      </c>
      <c r="K215" s="121" t="s">
        <v>56</v>
      </c>
      <c r="L215" s="121"/>
      <c r="M215" s="121"/>
      <c r="N215" s="121" t="s">
        <v>39</v>
      </c>
      <c r="O215" s="121" t="s">
        <v>40</v>
      </c>
      <c r="P215" s="121" t="s">
        <v>57</v>
      </c>
      <c r="Q215" s="121" t="s">
        <v>58</v>
      </c>
      <c r="R215" s="124">
        <v>46028</v>
      </c>
      <c r="S215" s="124">
        <v>46038</v>
      </c>
      <c r="T215" s="124">
        <v>46038</v>
      </c>
      <c r="U215" s="121"/>
      <c r="V215" s="121" t="s">
        <v>59</v>
      </c>
      <c r="W215" s="121" t="s">
        <v>1217</v>
      </c>
      <c r="X215" s="121" t="s">
        <v>1218</v>
      </c>
      <c r="Y215" s="120">
        <v>46037</v>
      </c>
      <c r="Z215" s="120">
        <v>46045</v>
      </c>
      <c r="AA215" s="118" t="s">
        <v>45</v>
      </c>
      <c r="AB215" s="118" t="s">
        <v>74</v>
      </c>
    </row>
    <row r="216" spans="1:28" ht="90" hidden="1" x14ac:dyDescent="0.25">
      <c r="A216" s="119">
        <v>186</v>
      </c>
      <c r="B216" s="118" t="s">
        <v>1219</v>
      </c>
      <c r="D216" s="118" t="s">
        <v>1220</v>
      </c>
      <c r="E216" s="118" t="s">
        <v>1221</v>
      </c>
      <c r="F216" s="118" t="s">
        <v>473</v>
      </c>
      <c r="G216" s="118" t="s">
        <v>563</v>
      </c>
      <c r="H216" s="118" t="s">
        <v>774</v>
      </c>
      <c r="I216" s="118" t="s">
        <v>185</v>
      </c>
      <c r="J216" s="118" t="s">
        <v>200</v>
      </c>
      <c r="K216" s="118" t="s">
        <v>83</v>
      </c>
      <c r="N216" s="118" t="s">
        <v>39</v>
      </c>
      <c r="O216" s="118" t="s">
        <v>39</v>
      </c>
      <c r="P216" s="118" t="s">
        <v>300</v>
      </c>
      <c r="Q216" s="118" t="s">
        <v>58</v>
      </c>
      <c r="R216" s="120">
        <v>46073</v>
      </c>
      <c r="T216" s="120">
        <v>46142</v>
      </c>
      <c r="V216" s="121" t="s">
        <v>96</v>
      </c>
      <c r="W216" s="118" t="s">
        <v>1222</v>
      </c>
      <c r="X216" s="121" t="s">
        <v>1223</v>
      </c>
      <c r="Y216" s="120">
        <v>46108</v>
      </c>
      <c r="Z216" s="120">
        <v>46115</v>
      </c>
      <c r="AA216" s="118" t="s">
        <v>73</v>
      </c>
      <c r="AB216" s="118" t="s">
        <v>74</v>
      </c>
    </row>
    <row r="217" spans="1:28" ht="60" hidden="1" x14ac:dyDescent="0.25">
      <c r="A217" s="119">
        <v>185</v>
      </c>
      <c r="B217" s="118" t="s">
        <v>1224</v>
      </c>
      <c r="D217" s="118" t="s">
        <v>1224</v>
      </c>
      <c r="E217" s="118" t="s">
        <v>1225</v>
      </c>
      <c r="F217" s="121" t="s">
        <v>1226</v>
      </c>
      <c r="G217" s="118" t="s">
        <v>1227</v>
      </c>
      <c r="I217" s="118" t="s">
        <v>185</v>
      </c>
      <c r="J217" s="121" t="s">
        <v>70</v>
      </c>
      <c r="K217" s="121" t="s">
        <v>83</v>
      </c>
      <c r="M217" s="118" t="s">
        <v>1228</v>
      </c>
      <c r="N217" s="118" t="s">
        <v>39</v>
      </c>
      <c r="O217" s="118" t="s">
        <v>40</v>
      </c>
      <c r="P217" s="118" t="s">
        <v>41</v>
      </c>
      <c r="Q217" s="118" t="s">
        <v>57</v>
      </c>
      <c r="R217" s="120">
        <v>46059</v>
      </c>
      <c r="S217" s="120">
        <v>46084</v>
      </c>
      <c r="T217" s="120">
        <v>46094</v>
      </c>
      <c r="V217" s="118" t="s">
        <v>59</v>
      </c>
      <c r="W217" s="118" t="s">
        <v>1229</v>
      </c>
      <c r="X217" s="121"/>
      <c r="Y217" s="120">
        <v>46087</v>
      </c>
      <c r="Z217" s="120">
        <v>46087</v>
      </c>
      <c r="AA217" s="118" t="s">
        <v>45</v>
      </c>
      <c r="AB217" s="118" t="s">
        <v>74</v>
      </c>
    </row>
    <row r="218" spans="1:28" ht="45" hidden="1" x14ac:dyDescent="0.25">
      <c r="A218" s="142" t="s">
        <v>1230</v>
      </c>
      <c r="B218" s="121" t="s">
        <v>48</v>
      </c>
      <c r="C218" s="121" t="s">
        <v>48</v>
      </c>
      <c r="D218" s="121" t="s">
        <v>49</v>
      </c>
      <c r="E218" s="121" t="s">
        <v>50</v>
      </c>
      <c r="F218" s="121" t="s">
        <v>51</v>
      </c>
      <c r="G218" s="121" t="s">
        <v>52</v>
      </c>
      <c r="H218" s="121" t="s">
        <v>951</v>
      </c>
      <c r="I218" s="121" t="s">
        <v>54</v>
      </c>
      <c r="J218" s="121" t="s">
        <v>55</v>
      </c>
      <c r="K218" s="121" t="s">
        <v>56</v>
      </c>
      <c r="L218" s="121"/>
      <c r="M218" s="121"/>
      <c r="N218" s="121" t="s">
        <v>39</v>
      </c>
      <c r="O218" s="121" t="s">
        <v>40</v>
      </c>
      <c r="P218" s="121" t="s">
        <v>57</v>
      </c>
      <c r="Q218" s="121" t="s">
        <v>58</v>
      </c>
      <c r="R218" s="124">
        <v>46038</v>
      </c>
      <c r="S218" s="124">
        <v>46065</v>
      </c>
      <c r="T218" s="124">
        <v>46080</v>
      </c>
      <c r="U218" s="121"/>
      <c r="V218" s="121" t="s">
        <v>59</v>
      </c>
      <c r="W218" s="121" t="s">
        <v>1231</v>
      </c>
      <c r="X218" s="121"/>
      <c r="Y218" s="120">
        <v>46066</v>
      </c>
      <c r="Z218" s="120">
        <v>46073</v>
      </c>
      <c r="AA218" s="118" t="s">
        <v>45</v>
      </c>
      <c r="AB218" s="118" t="s">
        <v>74</v>
      </c>
    </row>
    <row r="219" spans="1:28" ht="45" x14ac:dyDescent="0.25">
      <c r="A219" s="119">
        <v>184</v>
      </c>
      <c r="B219" s="118" t="s">
        <v>1232</v>
      </c>
      <c r="D219" s="118" t="s">
        <v>1233</v>
      </c>
      <c r="E219" s="118" t="s">
        <v>1234</v>
      </c>
      <c r="F219" s="121" t="s">
        <v>549</v>
      </c>
      <c r="G219" s="118" t="s">
        <v>1235</v>
      </c>
      <c r="I219" s="118" t="s">
        <v>94</v>
      </c>
      <c r="J219" s="118" t="s">
        <v>95</v>
      </c>
      <c r="K219" s="121" t="s">
        <v>83</v>
      </c>
      <c r="M219" s="118" t="s">
        <v>266</v>
      </c>
      <c r="N219" s="121" t="s">
        <v>39</v>
      </c>
      <c r="O219" s="121" t="s">
        <v>40</v>
      </c>
      <c r="P219" s="118" t="s">
        <v>57</v>
      </c>
      <c r="Q219" s="118" t="s">
        <v>57</v>
      </c>
      <c r="R219" s="124">
        <v>46204</v>
      </c>
      <c r="S219" s="124"/>
      <c r="T219" s="124">
        <v>46297</v>
      </c>
      <c r="V219" s="118" t="s">
        <v>43</v>
      </c>
      <c r="X219" s="121" t="s">
        <v>1236</v>
      </c>
      <c r="Y219" s="120">
        <v>46108</v>
      </c>
      <c r="Z219" s="120">
        <v>46115</v>
      </c>
      <c r="AA219" s="118" t="s">
        <v>709</v>
      </c>
      <c r="AB219" s="118" t="s">
        <v>514</v>
      </c>
    </row>
    <row r="220" spans="1:28" ht="30" hidden="1" x14ac:dyDescent="0.25">
      <c r="A220" s="119">
        <v>183</v>
      </c>
      <c r="B220" s="118" t="s">
        <v>1237</v>
      </c>
      <c r="D220" s="118" t="s">
        <v>1238</v>
      </c>
      <c r="E220" s="118" t="s">
        <v>1239</v>
      </c>
      <c r="F220" s="118" t="s">
        <v>1240</v>
      </c>
      <c r="G220" s="118" t="s">
        <v>120</v>
      </c>
      <c r="H220" s="118" t="s">
        <v>1112</v>
      </c>
      <c r="I220" s="121" t="s">
        <v>69</v>
      </c>
      <c r="J220" s="121" t="s">
        <v>70</v>
      </c>
      <c r="K220" s="121" t="s">
        <v>83</v>
      </c>
      <c r="L220" s="121" t="s">
        <v>104</v>
      </c>
      <c r="M220" s="121" t="s">
        <v>72</v>
      </c>
      <c r="N220" s="121" t="s">
        <v>39</v>
      </c>
      <c r="O220" s="121" t="s">
        <v>40</v>
      </c>
      <c r="P220" s="121" t="s">
        <v>41</v>
      </c>
      <c r="Q220" s="118" t="s">
        <v>42</v>
      </c>
      <c r="R220" s="120">
        <v>46044</v>
      </c>
      <c r="T220" s="120">
        <v>46356</v>
      </c>
      <c r="V220" s="121" t="s">
        <v>96</v>
      </c>
      <c r="W220" s="118" t="s">
        <v>1241</v>
      </c>
      <c r="X220" s="121" t="s">
        <v>1242</v>
      </c>
      <c r="Y220" s="120">
        <v>46108</v>
      </c>
      <c r="Z220" s="120">
        <v>46101</v>
      </c>
      <c r="AA220" s="118" t="s">
        <v>73</v>
      </c>
      <c r="AB220" s="118" t="s">
        <v>74</v>
      </c>
    </row>
    <row r="221" spans="1:28" ht="90" hidden="1" x14ac:dyDescent="0.25">
      <c r="A221" s="142">
        <v>182</v>
      </c>
      <c r="B221" s="121" t="s">
        <v>1243</v>
      </c>
      <c r="C221" s="121"/>
      <c r="D221" s="121" t="s">
        <v>1244</v>
      </c>
      <c r="E221" s="121" t="s">
        <v>1245</v>
      </c>
      <c r="F221" s="121" t="s">
        <v>111</v>
      </c>
      <c r="G221" s="121" t="s">
        <v>495</v>
      </c>
      <c r="H221" s="121" t="s">
        <v>1246</v>
      </c>
      <c r="I221" s="121" t="s">
        <v>103</v>
      </c>
      <c r="J221" s="121" t="s">
        <v>70</v>
      </c>
      <c r="K221" s="121" t="s">
        <v>83</v>
      </c>
      <c r="L221" s="121" t="s">
        <v>113</v>
      </c>
      <c r="M221" s="121" t="s">
        <v>72</v>
      </c>
      <c r="N221" s="121" t="s">
        <v>39</v>
      </c>
      <c r="O221" s="121" t="s">
        <v>40</v>
      </c>
      <c r="P221" s="121" t="s">
        <v>41</v>
      </c>
      <c r="Q221" s="121" t="s">
        <v>57</v>
      </c>
      <c r="R221" s="124">
        <v>46031</v>
      </c>
      <c r="S221" s="124"/>
      <c r="T221" s="124">
        <v>46112</v>
      </c>
      <c r="U221" s="121"/>
      <c r="V221" s="121" t="s">
        <v>59</v>
      </c>
      <c r="W221" s="121" t="s">
        <v>1247</v>
      </c>
      <c r="X221" s="121" t="s">
        <v>1883</v>
      </c>
      <c r="Y221" s="120">
        <v>46108</v>
      </c>
      <c r="Z221" s="120">
        <v>46115</v>
      </c>
      <c r="AA221" s="118" t="s">
        <v>73</v>
      </c>
      <c r="AB221" s="118" t="s">
        <v>74</v>
      </c>
    </row>
    <row r="222" spans="1:28" ht="60" hidden="1" x14ac:dyDescent="0.25">
      <c r="A222" s="142">
        <v>181</v>
      </c>
      <c r="B222" s="121" t="s">
        <v>1248</v>
      </c>
      <c r="C222" s="121"/>
      <c r="D222" s="121" t="s">
        <v>1249</v>
      </c>
      <c r="E222" s="121" t="s">
        <v>1250</v>
      </c>
      <c r="F222" s="121" t="s">
        <v>1251</v>
      </c>
      <c r="G222" s="121" t="s">
        <v>67</v>
      </c>
      <c r="H222" s="121"/>
      <c r="I222" s="121" t="s">
        <v>54</v>
      </c>
      <c r="J222" s="121" t="s">
        <v>70</v>
      </c>
      <c r="K222" s="121" t="s">
        <v>83</v>
      </c>
      <c r="L222" s="121" t="s">
        <v>104</v>
      </c>
      <c r="M222" s="121" t="s">
        <v>72</v>
      </c>
      <c r="N222" s="121" t="s">
        <v>39</v>
      </c>
      <c r="O222" s="121" t="s">
        <v>39</v>
      </c>
      <c r="P222" s="121" t="s">
        <v>57</v>
      </c>
      <c r="Q222" s="121" t="s">
        <v>57</v>
      </c>
      <c r="R222" s="124">
        <v>46029</v>
      </c>
      <c r="S222" s="124"/>
      <c r="T222" s="124">
        <v>46112</v>
      </c>
      <c r="U222" s="121"/>
      <c r="V222" s="121" t="s">
        <v>96</v>
      </c>
      <c r="W222" s="121" t="s">
        <v>1252</v>
      </c>
      <c r="X222" s="121" t="s">
        <v>1253</v>
      </c>
      <c r="Y222" s="120">
        <v>46087</v>
      </c>
      <c r="Z222" s="120">
        <v>46201</v>
      </c>
      <c r="AA222" s="118" t="s">
        <v>288</v>
      </c>
      <c r="AB222" s="118" t="s">
        <v>74</v>
      </c>
    </row>
    <row r="223" spans="1:28" ht="165" hidden="1" x14ac:dyDescent="0.25">
      <c r="A223" s="142">
        <v>179</v>
      </c>
      <c r="B223" s="121" t="s">
        <v>1254</v>
      </c>
      <c r="C223" s="121"/>
      <c r="D223" s="121" t="s">
        <v>1255</v>
      </c>
      <c r="E223" s="121" t="s">
        <v>1256</v>
      </c>
      <c r="F223" s="121" t="s">
        <v>377</v>
      </c>
      <c r="G223" s="121" t="s">
        <v>465</v>
      </c>
      <c r="H223" s="121" t="s">
        <v>479</v>
      </c>
      <c r="I223" s="121" t="s">
        <v>137</v>
      </c>
      <c r="J223" s="121" t="s">
        <v>200</v>
      </c>
      <c r="K223" s="121" t="s">
        <v>83</v>
      </c>
      <c r="L223" s="121" t="s">
        <v>104</v>
      </c>
      <c r="M223" s="121" t="s">
        <v>1228</v>
      </c>
      <c r="N223" s="121" t="s">
        <v>39</v>
      </c>
      <c r="O223" s="121" t="s">
        <v>39</v>
      </c>
      <c r="P223" s="121" t="s">
        <v>41</v>
      </c>
      <c r="Q223" s="121" t="s">
        <v>57</v>
      </c>
      <c r="R223" s="124">
        <v>45993</v>
      </c>
      <c r="S223" s="124"/>
      <c r="T223" s="124">
        <v>46142</v>
      </c>
      <c r="U223" s="121"/>
      <c r="V223" s="121" t="s">
        <v>96</v>
      </c>
      <c r="W223" s="121" t="s">
        <v>1257</v>
      </c>
      <c r="X223" s="121" t="s">
        <v>1258</v>
      </c>
      <c r="Y223" s="120">
        <v>46108</v>
      </c>
      <c r="Z223" s="120">
        <v>46115</v>
      </c>
      <c r="AA223" s="118" t="s">
        <v>73</v>
      </c>
      <c r="AB223" s="118" t="s">
        <v>74</v>
      </c>
    </row>
    <row r="224" spans="1:28" ht="135" hidden="1" x14ac:dyDescent="0.25">
      <c r="A224" s="142">
        <v>178</v>
      </c>
      <c r="B224" s="121" t="s">
        <v>1259</v>
      </c>
      <c r="C224" s="121" t="s">
        <v>1260</v>
      </c>
      <c r="D224" s="121" t="s">
        <v>271</v>
      </c>
      <c r="E224" s="121"/>
      <c r="F224" s="121" t="s">
        <v>101</v>
      </c>
      <c r="G224" s="121" t="s">
        <v>323</v>
      </c>
      <c r="H224" s="121" t="s">
        <v>566</v>
      </c>
      <c r="I224" s="121" t="s">
        <v>103</v>
      </c>
      <c r="J224" s="121" t="s">
        <v>144</v>
      </c>
      <c r="K224" s="121" t="s">
        <v>56</v>
      </c>
      <c r="L224" s="121" t="s">
        <v>537</v>
      </c>
      <c r="M224" s="121" t="s">
        <v>266</v>
      </c>
      <c r="N224" s="121" t="s">
        <v>39</v>
      </c>
      <c r="O224" s="121" t="s">
        <v>40</v>
      </c>
      <c r="P224" s="121" t="s">
        <v>105</v>
      </c>
      <c r="Q224" s="121" t="s">
        <v>344</v>
      </c>
      <c r="R224" s="124">
        <v>46054</v>
      </c>
      <c r="S224" s="124"/>
      <c r="T224" s="124">
        <v>46599</v>
      </c>
      <c r="U224" s="121"/>
      <c r="V224" s="121" t="s">
        <v>43</v>
      </c>
      <c r="W224" s="121" t="s">
        <v>1261</v>
      </c>
      <c r="X224" s="121" t="s">
        <v>1262</v>
      </c>
      <c r="Y224" s="120">
        <v>46052</v>
      </c>
      <c r="Z224" s="120">
        <v>46122</v>
      </c>
      <c r="AA224" s="118" t="s">
        <v>73</v>
      </c>
      <c r="AB224" s="118" t="s">
        <v>74</v>
      </c>
    </row>
    <row r="225" spans="1:28" ht="30" hidden="1" x14ac:dyDescent="0.25">
      <c r="A225" s="142">
        <v>177</v>
      </c>
      <c r="B225" s="121" t="s">
        <v>1263</v>
      </c>
      <c r="C225" s="121"/>
      <c r="D225" s="121"/>
      <c r="E225" s="121"/>
      <c r="F225" s="121"/>
      <c r="G225" s="121"/>
      <c r="H225" s="121"/>
      <c r="I225" s="121"/>
      <c r="J225" s="121" t="s">
        <v>70</v>
      </c>
      <c r="K225" s="121"/>
      <c r="L225" s="121"/>
      <c r="M225" s="121"/>
      <c r="N225" s="121"/>
      <c r="O225" s="121"/>
      <c r="P225" s="121"/>
      <c r="Q225" s="121"/>
      <c r="R225" s="124"/>
      <c r="S225" s="124"/>
      <c r="T225" s="124"/>
      <c r="U225" s="121"/>
      <c r="V225" s="121"/>
      <c r="W225" s="121"/>
      <c r="X225" s="121"/>
      <c r="Y225" s="120">
        <v>46108</v>
      </c>
      <c r="Z225" s="120">
        <v>46203</v>
      </c>
      <c r="AA225" s="118" t="s">
        <v>671</v>
      </c>
      <c r="AB225" s="118" t="s">
        <v>514</v>
      </c>
    </row>
    <row r="226" spans="1:28" ht="90" hidden="1" x14ac:dyDescent="0.25">
      <c r="A226" s="142">
        <v>176</v>
      </c>
      <c r="B226" s="121" t="s">
        <v>1264</v>
      </c>
      <c r="C226" s="121"/>
      <c r="D226" s="121"/>
      <c r="E226" s="121" t="s">
        <v>1265</v>
      </c>
      <c r="F226" s="121"/>
      <c r="G226" s="121"/>
      <c r="H226" s="121"/>
      <c r="I226" s="121"/>
      <c r="J226" s="121" t="s">
        <v>36</v>
      </c>
      <c r="K226" s="121"/>
      <c r="L226" s="121"/>
      <c r="M226" s="121"/>
      <c r="N226" s="121"/>
      <c r="O226" s="121"/>
      <c r="P226" s="121"/>
      <c r="Q226" s="121"/>
      <c r="R226" s="124"/>
      <c r="S226" s="124"/>
      <c r="T226" s="124"/>
      <c r="U226" s="121"/>
      <c r="V226" s="121"/>
      <c r="W226" s="121"/>
      <c r="X226" s="121" t="s">
        <v>1884</v>
      </c>
      <c r="Y226" s="120">
        <v>46108</v>
      </c>
      <c r="Z226" s="120">
        <v>46129</v>
      </c>
      <c r="AA226" s="118" t="s">
        <v>671</v>
      </c>
      <c r="AB226" s="118" t="s">
        <v>514</v>
      </c>
    </row>
    <row r="227" spans="1:28" ht="210" hidden="1" x14ac:dyDescent="0.25">
      <c r="A227" s="142">
        <v>173</v>
      </c>
      <c r="B227" s="121" t="s">
        <v>1266</v>
      </c>
      <c r="C227" s="121"/>
      <c r="D227" s="121" t="s">
        <v>1267</v>
      </c>
      <c r="E227" s="121" t="s">
        <v>1268</v>
      </c>
      <c r="F227" s="121" t="s">
        <v>1269</v>
      </c>
      <c r="G227" s="121" t="s">
        <v>67</v>
      </c>
      <c r="H227" s="121"/>
      <c r="I227" s="121" t="s">
        <v>54</v>
      </c>
      <c r="J227" s="121" t="s">
        <v>70</v>
      </c>
      <c r="K227" s="121" t="s">
        <v>83</v>
      </c>
      <c r="L227" s="121" t="s">
        <v>104</v>
      </c>
      <c r="M227" s="121" t="s">
        <v>72</v>
      </c>
      <c r="N227" s="121" t="s">
        <v>39</v>
      </c>
      <c r="O227" s="121" t="s">
        <v>39</v>
      </c>
      <c r="P227" s="121" t="s">
        <v>41</v>
      </c>
      <c r="Q227" s="121" t="s">
        <v>57</v>
      </c>
      <c r="R227" s="124">
        <v>45939</v>
      </c>
      <c r="S227" s="124"/>
      <c r="T227" s="124">
        <v>46112</v>
      </c>
      <c r="U227" s="121"/>
      <c r="V227" s="121" t="s">
        <v>96</v>
      </c>
      <c r="W227" s="121" t="s">
        <v>1270</v>
      </c>
      <c r="X227" s="121" t="s">
        <v>1271</v>
      </c>
      <c r="Y227" s="120">
        <v>46108</v>
      </c>
      <c r="Z227" s="120">
        <v>46115</v>
      </c>
      <c r="AA227" s="118" t="s">
        <v>73</v>
      </c>
      <c r="AB227" s="118" t="s">
        <v>74</v>
      </c>
    </row>
    <row r="228" spans="1:28" ht="180" hidden="1" x14ac:dyDescent="0.25">
      <c r="A228" s="142">
        <v>172</v>
      </c>
      <c r="B228" s="121" t="s">
        <v>1272</v>
      </c>
      <c r="C228" s="121"/>
      <c r="D228" s="121" t="s">
        <v>1273</v>
      </c>
      <c r="E228" s="121" t="s">
        <v>1274</v>
      </c>
      <c r="F228" s="121" t="s">
        <v>1275</v>
      </c>
      <c r="G228" s="121" t="s">
        <v>53</v>
      </c>
      <c r="H228" s="121" t="s">
        <v>67</v>
      </c>
      <c r="I228" s="121" t="s">
        <v>94</v>
      </c>
      <c r="J228" s="121" t="s">
        <v>70</v>
      </c>
      <c r="K228" s="121" t="s">
        <v>83</v>
      </c>
      <c r="L228" s="121" t="s">
        <v>104</v>
      </c>
      <c r="M228" s="121" t="s">
        <v>72</v>
      </c>
      <c r="N228" s="121" t="s">
        <v>39</v>
      </c>
      <c r="O228" s="121" t="s">
        <v>39</v>
      </c>
      <c r="P228" s="121" t="s">
        <v>57</v>
      </c>
      <c r="Q228" s="121" t="s">
        <v>57</v>
      </c>
      <c r="R228" s="124">
        <v>46038</v>
      </c>
      <c r="S228" s="124"/>
      <c r="T228" s="124">
        <v>46234</v>
      </c>
      <c r="U228" s="121"/>
      <c r="V228" s="121" t="s">
        <v>96</v>
      </c>
      <c r="W228" s="121" t="s">
        <v>1276</v>
      </c>
      <c r="X228" s="121" t="s">
        <v>1277</v>
      </c>
      <c r="Y228" s="120">
        <v>46059</v>
      </c>
      <c r="Z228" s="120">
        <v>46136</v>
      </c>
      <c r="AA228" s="118" t="s">
        <v>671</v>
      </c>
      <c r="AB228" s="118" t="s">
        <v>74</v>
      </c>
    </row>
    <row r="229" spans="1:28" ht="135" hidden="1" x14ac:dyDescent="0.25">
      <c r="A229" s="142">
        <v>146</v>
      </c>
      <c r="B229" s="121" t="s">
        <v>1278</v>
      </c>
      <c r="C229" s="121"/>
      <c r="D229" s="121" t="s">
        <v>1279</v>
      </c>
      <c r="E229" s="121" t="s">
        <v>1280</v>
      </c>
      <c r="F229" s="121" t="s">
        <v>814</v>
      </c>
      <c r="G229" s="121" t="s">
        <v>67</v>
      </c>
      <c r="H229" s="121"/>
      <c r="I229" s="121" t="s">
        <v>185</v>
      </c>
      <c r="J229" s="121" t="s">
        <v>70</v>
      </c>
      <c r="K229" s="121" t="s">
        <v>83</v>
      </c>
      <c r="L229" s="121"/>
      <c r="M229" s="121" t="s">
        <v>72</v>
      </c>
      <c r="N229" s="121" t="s">
        <v>39</v>
      </c>
      <c r="O229" s="121" t="s">
        <v>39</v>
      </c>
      <c r="P229" s="121" t="s">
        <v>300</v>
      </c>
      <c r="Q229" s="121" t="s">
        <v>57</v>
      </c>
      <c r="R229" s="124">
        <v>45351</v>
      </c>
      <c r="S229" s="124">
        <v>46086</v>
      </c>
      <c r="T229" s="124">
        <v>46087</v>
      </c>
      <c r="U229" s="121"/>
      <c r="V229" s="121" t="s">
        <v>96</v>
      </c>
      <c r="W229" s="121" t="s">
        <v>1281</v>
      </c>
      <c r="X229" s="121" t="s">
        <v>1282</v>
      </c>
      <c r="Y229" s="120">
        <v>46087</v>
      </c>
      <c r="Z229" s="120">
        <v>46081</v>
      </c>
      <c r="AA229" s="118" t="s">
        <v>45</v>
      </c>
      <c r="AB229" s="118" t="s">
        <v>74</v>
      </c>
    </row>
    <row r="230" spans="1:28" ht="330" hidden="1" x14ac:dyDescent="0.25">
      <c r="A230" s="142">
        <v>145</v>
      </c>
      <c r="B230" s="121" t="s">
        <v>1283</v>
      </c>
      <c r="C230" s="121"/>
      <c r="D230" s="121" t="s">
        <v>1284</v>
      </c>
      <c r="E230" s="121" t="s">
        <v>1285</v>
      </c>
      <c r="F230" s="121" t="s">
        <v>1011</v>
      </c>
      <c r="G230" s="121" t="s">
        <v>120</v>
      </c>
      <c r="H230" s="121" t="s">
        <v>67</v>
      </c>
      <c r="I230" s="121" t="s">
        <v>185</v>
      </c>
      <c r="J230" s="121" t="s">
        <v>70</v>
      </c>
      <c r="K230" s="121" t="s">
        <v>83</v>
      </c>
      <c r="L230" s="121"/>
      <c r="M230" s="121" t="s">
        <v>72</v>
      </c>
      <c r="N230" s="121" t="s">
        <v>39</v>
      </c>
      <c r="O230" s="121" t="s">
        <v>39</v>
      </c>
      <c r="P230" s="121" t="s">
        <v>57</v>
      </c>
      <c r="Q230" s="121" t="s">
        <v>57</v>
      </c>
      <c r="R230" s="124">
        <v>46038</v>
      </c>
      <c r="S230" s="124"/>
      <c r="T230" s="124">
        <v>46142</v>
      </c>
      <c r="U230" s="121"/>
      <c r="V230" s="121" t="s">
        <v>59</v>
      </c>
      <c r="W230" s="121" t="s">
        <v>1286</v>
      </c>
      <c r="X230" s="121" t="s">
        <v>1876</v>
      </c>
      <c r="Y230" s="120">
        <v>46066</v>
      </c>
      <c r="Z230" s="120">
        <v>46115</v>
      </c>
      <c r="AA230" s="118" t="s">
        <v>73</v>
      </c>
      <c r="AB230" s="118" t="s">
        <v>74</v>
      </c>
    </row>
    <row r="231" spans="1:28" ht="165" hidden="1" x14ac:dyDescent="0.25">
      <c r="A231" s="142">
        <v>136</v>
      </c>
      <c r="B231" s="121" t="s">
        <v>1287</v>
      </c>
      <c r="C231" s="121"/>
      <c r="D231" s="121" t="s">
        <v>1288</v>
      </c>
      <c r="E231" s="121" t="s">
        <v>1289</v>
      </c>
      <c r="F231" s="121" t="s">
        <v>1290</v>
      </c>
      <c r="G231" s="121" t="s">
        <v>465</v>
      </c>
      <c r="H231" s="121" t="s">
        <v>67</v>
      </c>
      <c r="I231" s="121" t="s">
        <v>137</v>
      </c>
      <c r="J231" s="121" t="s">
        <v>144</v>
      </c>
      <c r="K231" s="121" t="s">
        <v>56</v>
      </c>
      <c r="L231" s="121"/>
      <c r="M231" s="121" t="s">
        <v>266</v>
      </c>
      <c r="N231" s="121" t="s">
        <v>39</v>
      </c>
      <c r="O231" s="121" t="s">
        <v>39</v>
      </c>
      <c r="P231" s="121" t="s">
        <v>57</v>
      </c>
      <c r="Q231" s="121" t="s">
        <v>42</v>
      </c>
      <c r="R231" s="124">
        <v>45658</v>
      </c>
      <c r="S231" s="124"/>
      <c r="T231" s="124">
        <v>46203</v>
      </c>
      <c r="U231" s="121"/>
      <c r="V231" s="121" t="s">
        <v>59</v>
      </c>
      <c r="W231" s="121" t="s">
        <v>1291</v>
      </c>
      <c r="X231" s="121" t="s">
        <v>1292</v>
      </c>
      <c r="Y231" s="120">
        <v>46108</v>
      </c>
      <c r="Z231" s="120">
        <v>46115</v>
      </c>
      <c r="AA231" s="118" t="s">
        <v>73</v>
      </c>
      <c r="AB231" s="118" t="s">
        <v>74</v>
      </c>
    </row>
    <row r="232" spans="1:28" ht="409.5" hidden="1" x14ac:dyDescent="0.25">
      <c r="A232" s="142">
        <v>135</v>
      </c>
      <c r="B232" s="121" t="s">
        <v>1293</v>
      </c>
      <c r="C232" s="121"/>
      <c r="D232" s="121" t="s">
        <v>1294</v>
      </c>
      <c r="E232" s="121" t="s">
        <v>1295</v>
      </c>
      <c r="F232" s="121" t="s">
        <v>1296</v>
      </c>
      <c r="G232" s="121" t="s">
        <v>1297</v>
      </c>
      <c r="H232" s="121" t="s">
        <v>53</v>
      </c>
      <c r="I232" s="121" t="s">
        <v>536</v>
      </c>
      <c r="J232" s="121" t="s">
        <v>144</v>
      </c>
      <c r="K232" s="121" t="s">
        <v>83</v>
      </c>
      <c r="L232" s="121"/>
      <c r="M232" s="121" t="s">
        <v>72</v>
      </c>
      <c r="N232" s="121" t="s">
        <v>39</v>
      </c>
      <c r="O232" s="121" t="s">
        <v>40</v>
      </c>
      <c r="P232" s="121" t="s">
        <v>41</v>
      </c>
      <c r="Q232" s="121" t="s">
        <v>58</v>
      </c>
      <c r="R232" s="124">
        <v>46038</v>
      </c>
      <c r="S232" s="124">
        <v>46080</v>
      </c>
      <c r="T232" s="124">
        <v>46112</v>
      </c>
      <c r="U232" s="121"/>
      <c r="V232" s="121" t="s">
        <v>285</v>
      </c>
      <c r="W232" s="121" t="s">
        <v>1298</v>
      </c>
      <c r="X232" s="121"/>
      <c r="Y232" s="120">
        <v>46080</v>
      </c>
      <c r="Z232" s="120">
        <v>46080</v>
      </c>
      <c r="AA232" s="118" t="s">
        <v>45</v>
      </c>
      <c r="AB232" s="118" t="s">
        <v>74</v>
      </c>
    </row>
    <row r="233" spans="1:28" ht="409.5" hidden="1" x14ac:dyDescent="0.25">
      <c r="A233" s="142">
        <v>133</v>
      </c>
      <c r="B233" s="121" t="s">
        <v>1299</v>
      </c>
      <c r="C233" s="121"/>
      <c r="D233" s="121" t="s">
        <v>1300</v>
      </c>
      <c r="E233" s="121"/>
      <c r="F233" s="121" t="s">
        <v>1301</v>
      </c>
      <c r="G233" s="121" t="s">
        <v>67</v>
      </c>
      <c r="H233" s="121" t="s">
        <v>519</v>
      </c>
      <c r="I233" s="121" t="s">
        <v>35</v>
      </c>
      <c r="J233" s="121" t="s">
        <v>70</v>
      </c>
      <c r="K233" s="121" t="s">
        <v>83</v>
      </c>
      <c r="L233" s="121"/>
      <c r="M233" s="121" t="s">
        <v>72</v>
      </c>
      <c r="N233" s="121" t="s">
        <v>39</v>
      </c>
      <c r="O233" s="121"/>
      <c r="P233" s="121"/>
      <c r="Q233" s="121" t="s">
        <v>57</v>
      </c>
      <c r="R233" s="124">
        <v>45623</v>
      </c>
      <c r="S233" s="124"/>
      <c r="T233" s="124">
        <v>46173</v>
      </c>
      <c r="U233" s="121"/>
      <c r="V233" s="121" t="s">
        <v>43</v>
      </c>
      <c r="W233" s="121" t="s">
        <v>1302</v>
      </c>
      <c r="X233" s="121" t="s">
        <v>1885</v>
      </c>
      <c r="Y233" s="120">
        <v>46108</v>
      </c>
      <c r="Z233" s="120">
        <v>46129</v>
      </c>
      <c r="AA233" s="118" t="s">
        <v>73</v>
      </c>
      <c r="AB233" s="118" t="s">
        <v>74</v>
      </c>
    </row>
    <row r="234" spans="1:28" ht="120" hidden="1" x14ac:dyDescent="0.25">
      <c r="A234" s="142">
        <v>106</v>
      </c>
      <c r="B234" s="121" t="s">
        <v>1303</v>
      </c>
      <c r="C234" s="121" t="s">
        <v>1304</v>
      </c>
      <c r="D234" s="121" t="s">
        <v>1305</v>
      </c>
      <c r="E234" s="121" t="s">
        <v>1306</v>
      </c>
      <c r="F234" s="121" t="s">
        <v>1301</v>
      </c>
      <c r="G234" s="121" t="s">
        <v>67</v>
      </c>
      <c r="H234" s="121" t="s">
        <v>53</v>
      </c>
      <c r="I234" s="121" t="s">
        <v>137</v>
      </c>
      <c r="J234" s="121" t="s">
        <v>70</v>
      </c>
      <c r="K234" s="121" t="s">
        <v>83</v>
      </c>
      <c r="L234" s="121" t="s">
        <v>224</v>
      </c>
      <c r="M234" s="121" t="s">
        <v>72</v>
      </c>
      <c r="N234" s="121" t="s">
        <v>39</v>
      </c>
      <c r="O234" s="121" t="s">
        <v>40</v>
      </c>
      <c r="P234" s="121" t="s">
        <v>57</v>
      </c>
      <c r="Q234" s="121" t="s">
        <v>57</v>
      </c>
      <c r="R234" s="124">
        <v>45659</v>
      </c>
      <c r="S234" s="124"/>
      <c r="T234" s="124">
        <v>46112</v>
      </c>
      <c r="U234" s="121"/>
      <c r="V234" s="121" t="s">
        <v>96</v>
      </c>
      <c r="W234" s="121" t="s">
        <v>1307</v>
      </c>
      <c r="X234" s="121" t="s">
        <v>1308</v>
      </c>
      <c r="Y234" s="120">
        <v>46108</v>
      </c>
      <c r="Z234" s="120">
        <v>46108</v>
      </c>
      <c r="AA234" s="118" t="s">
        <v>73</v>
      </c>
      <c r="AB234" s="118" t="s">
        <v>74</v>
      </c>
    </row>
    <row r="235" spans="1:28" ht="409.5" hidden="1" x14ac:dyDescent="0.25">
      <c r="A235" s="142">
        <v>48</v>
      </c>
      <c r="B235" s="121" t="s">
        <v>1309</v>
      </c>
      <c r="C235" s="121"/>
      <c r="D235" s="121"/>
      <c r="E235" s="121" t="s">
        <v>1310</v>
      </c>
      <c r="F235" s="121" t="s">
        <v>1311</v>
      </c>
      <c r="G235" s="121" t="s">
        <v>67</v>
      </c>
      <c r="H235" s="121" t="s">
        <v>1312</v>
      </c>
      <c r="I235" s="121" t="s">
        <v>487</v>
      </c>
      <c r="J235" s="121" t="s">
        <v>144</v>
      </c>
      <c r="K235" s="121" t="s">
        <v>56</v>
      </c>
      <c r="L235" s="121"/>
      <c r="M235" s="121" t="s">
        <v>266</v>
      </c>
      <c r="N235" s="121" t="s">
        <v>39</v>
      </c>
      <c r="O235" s="121" t="s">
        <v>40</v>
      </c>
      <c r="P235" s="121" t="s">
        <v>57</v>
      </c>
      <c r="Q235" s="121" t="s">
        <v>344</v>
      </c>
      <c r="R235" s="124">
        <v>45698</v>
      </c>
      <c r="S235" s="124"/>
      <c r="T235" s="124">
        <v>46171</v>
      </c>
      <c r="U235" s="121"/>
      <c r="V235" s="121" t="s">
        <v>59</v>
      </c>
      <c r="W235" s="121" t="s">
        <v>1886</v>
      </c>
      <c r="X235" s="121" t="s">
        <v>1887</v>
      </c>
      <c r="Y235" s="120">
        <v>46108</v>
      </c>
      <c r="Z235" s="120">
        <v>46122</v>
      </c>
      <c r="AA235" s="118" t="s">
        <v>73</v>
      </c>
      <c r="AB235" s="118" t="s">
        <v>62</v>
      </c>
    </row>
    <row r="236" spans="1:28" ht="105" hidden="1" x14ac:dyDescent="0.25">
      <c r="A236" s="119">
        <v>187</v>
      </c>
      <c r="B236" s="118" t="s">
        <v>1313</v>
      </c>
      <c r="D236" s="118" t="s">
        <v>1314</v>
      </c>
      <c r="E236" s="118" t="s">
        <v>1315</v>
      </c>
      <c r="F236" s="118" t="s">
        <v>1316</v>
      </c>
      <c r="G236" s="118" t="s">
        <v>495</v>
      </c>
      <c r="H236" s="118" t="s">
        <v>67</v>
      </c>
      <c r="I236" s="118" t="s">
        <v>103</v>
      </c>
      <c r="J236" s="121" t="s">
        <v>70</v>
      </c>
      <c r="K236" s="121" t="s">
        <v>83</v>
      </c>
      <c r="L236" s="121" t="s">
        <v>113</v>
      </c>
      <c r="M236" s="121" t="s">
        <v>72</v>
      </c>
      <c r="N236" s="121" t="s">
        <v>39</v>
      </c>
      <c r="O236" s="121" t="s">
        <v>40</v>
      </c>
      <c r="P236" s="121" t="s">
        <v>41</v>
      </c>
      <c r="Q236" s="121" t="s">
        <v>58</v>
      </c>
      <c r="R236" s="120">
        <v>46059</v>
      </c>
      <c r="T236" s="124">
        <v>46112</v>
      </c>
      <c r="V236" s="121" t="s">
        <v>59</v>
      </c>
      <c r="W236" s="118" t="s">
        <v>1317</v>
      </c>
      <c r="X236" s="121" t="s">
        <v>1318</v>
      </c>
      <c r="Y236" s="120">
        <v>46108</v>
      </c>
      <c r="Z236" s="120">
        <v>46122</v>
      </c>
      <c r="AA236" s="118" t="s">
        <v>73</v>
      </c>
      <c r="AB236" s="118" t="s">
        <v>74</v>
      </c>
    </row>
    <row r="237" spans="1:28" ht="60" hidden="1" x14ac:dyDescent="0.25">
      <c r="A237" s="119">
        <v>188</v>
      </c>
      <c r="B237" s="118" t="s">
        <v>188</v>
      </c>
      <c r="E237" s="121" t="s">
        <v>1319</v>
      </c>
      <c r="F237" s="121" t="s">
        <v>190</v>
      </c>
      <c r="G237" s="121" t="s">
        <v>191</v>
      </c>
      <c r="H237" s="121"/>
      <c r="I237" s="121" t="s">
        <v>35</v>
      </c>
      <c r="J237" s="121" t="s">
        <v>144</v>
      </c>
      <c r="K237" s="121"/>
      <c r="L237" s="121"/>
      <c r="M237" s="121"/>
      <c r="N237" s="121" t="s">
        <v>39</v>
      </c>
      <c r="O237" s="121" t="s">
        <v>40</v>
      </c>
      <c r="P237" s="121" t="s">
        <v>105</v>
      </c>
      <c r="Q237" s="121" t="s">
        <v>57</v>
      </c>
      <c r="R237" s="124">
        <v>46079</v>
      </c>
      <c r="S237" s="124"/>
      <c r="T237" s="124">
        <v>46134</v>
      </c>
      <c r="U237" s="124">
        <v>46107</v>
      </c>
      <c r="V237" s="118" t="s">
        <v>43</v>
      </c>
      <c r="W237" s="118" t="s">
        <v>1320</v>
      </c>
      <c r="X237" s="121"/>
      <c r="Y237" s="120">
        <v>46108</v>
      </c>
      <c r="Z237" s="120">
        <v>46108</v>
      </c>
      <c r="AA237" s="118" t="s">
        <v>45</v>
      </c>
      <c r="AB237" s="118" t="s">
        <v>74</v>
      </c>
    </row>
    <row r="238" spans="1:28" ht="75" hidden="1" x14ac:dyDescent="0.25">
      <c r="A238" s="119">
        <v>189</v>
      </c>
      <c r="B238" s="118" t="s">
        <v>1321</v>
      </c>
      <c r="D238" s="118" t="s">
        <v>1322</v>
      </c>
      <c r="E238" s="118" t="s">
        <v>1323</v>
      </c>
      <c r="F238" s="118" t="s">
        <v>643</v>
      </c>
      <c r="G238" s="118" t="s">
        <v>1324</v>
      </c>
      <c r="H238" s="118" t="s">
        <v>67</v>
      </c>
      <c r="I238" s="118" t="s">
        <v>69</v>
      </c>
      <c r="J238" s="118" t="s">
        <v>95</v>
      </c>
      <c r="K238" s="118" t="s">
        <v>83</v>
      </c>
      <c r="L238" s="118" t="s">
        <v>113</v>
      </c>
      <c r="M238" s="118" t="s">
        <v>72</v>
      </c>
      <c r="N238" s="118" t="s">
        <v>39</v>
      </c>
      <c r="O238" s="118" t="s">
        <v>39</v>
      </c>
      <c r="P238" s="118" t="s">
        <v>41</v>
      </c>
      <c r="Q238" s="118" t="s">
        <v>42</v>
      </c>
      <c r="R238" s="120">
        <v>46090</v>
      </c>
      <c r="T238" s="120">
        <v>46234</v>
      </c>
      <c r="V238" s="118" t="s">
        <v>43</v>
      </c>
      <c r="W238" s="118" t="s">
        <v>1325</v>
      </c>
      <c r="X238" s="121" t="s">
        <v>1326</v>
      </c>
      <c r="Y238" s="120">
        <v>46108</v>
      </c>
      <c r="Z238" s="120">
        <v>46136</v>
      </c>
      <c r="AA238" s="118" t="s">
        <v>73</v>
      </c>
      <c r="AB238" s="118" t="s">
        <v>74</v>
      </c>
    </row>
    <row r="239" spans="1:28" ht="285" hidden="1" x14ac:dyDescent="0.25">
      <c r="A239" s="119">
        <v>190</v>
      </c>
      <c r="B239" s="118" t="s">
        <v>1327</v>
      </c>
      <c r="D239" s="118" t="s">
        <v>1328</v>
      </c>
      <c r="E239" s="118" t="s">
        <v>1329</v>
      </c>
      <c r="F239" s="118" t="s">
        <v>643</v>
      </c>
      <c r="G239" s="118" t="s">
        <v>448</v>
      </c>
      <c r="I239" s="118" t="s">
        <v>536</v>
      </c>
      <c r="J239" s="118" t="s">
        <v>70</v>
      </c>
      <c r="K239" s="118" t="s">
        <v>83</v>
      </c>
      <c r="L239" s="118" t="s">
        <v>104</v>
      </c>
      <c r="M239" s="118" t="s">
        <v>72</v>
      </c>
      <c r="N239" s="118" t="s">
        <v>39</v>
      </c>
      <c r="O239" s="118" t="s">
        <v>40</v>
      </c>
      <c r="P239" s="118" t="s">
        <v>41</v>
      </c>
      <c r="Q239" s="118" t="s">
        <v>42</v>
      </c>
      <c r="W239" s="118" t="s">
        <v>1330</v>
      </c>
      <c r="AA239" s="118" t="s">
        <v>671</v>
      </c>
    </row>
    <row r="240" spans="1:28" ht="60" hidden="1" x14ac:dyDescent="0.25">
      <c r="A240" s="119">
        <v>191</v>
      </c>
      <c r="B240" s="118" t="s">
        <v>1331</v>
      </c>
      <c r="C240" s="118" t="s">
        <v>1332</v>
      </c>
      <c r="E240" s="118" t="s">
        <v>1333</v>
      </c>
      <c r="F240" s="118" t="s">
        <v>1316</v>
      </c>
      <c r="G240" s="118" t="s">
        <v>495</v>
      </c>
      <c r="H240" s="118" t="s">
        <v>1334</v>
      </c>
      <c r="I240" s="118" t="s">
        <v>103</v>
      </c>
      <c r="J240" s="121" t="s">
        <v>70</v>
      </c>
      <c r="K240" s="118" t="s">
        <v>83</v>
      </c>
      <c r="L240" s="121" t="s">
        <v>113</v>
      </c>
      <c r="M240" s="118" t="s">
        <v>72</v>
      </c>
      <c r="N240" s="118" t="s">
        <v>39</v>
      </c>
      <c r="O240" s="118" t="s">
        <v>40</v>
      </c>
      <c r="P240" s="118" t="s">
        <v>41</v>
      </c>
      <c r="Q240" s="118" t="s">
        <v>57</v>
      </c>
      <c r="R240" s="120">
        <v>46092</v>
      </c>
      <c r="T240" s="120">
        <v>46234</v>
      </c>
      <c r="V240" s="121" t="s">
        <v>59</v>
      </c>
      <c r="W240" s="121" t="s">
        <v>1335</v>
      </c>
      <c r="X240" s="121" t="s">
        <v>1336</v>
      </c>
      <c r="Y240" s="120">
        <v>46108</v>
      </c>
      <c r="Z240" s="120">
        <v>46136</v>
      </c>
      <c r="AA240" s="118" t="s">
        <v>73</v>
      </c>
      <c r="AB240" s="118" t="s">
        <v>74</v>
      </c>
    </row>
    <row r="241" spans="1:28" ht="30" hidden="1" x14ac:dyDescent="0.25">
      <c r="A241" s="119" t="s">
        <v>1337</v>
      </c>
      <c r="B241" s="118" t="s">
        <v>1338</v>
      </c>
      <c r="D241" s="118" t="s">
        <v>1339</v>
      </c>
      <c r="F241" s="118" t="s">
        <v>643</v>
      </c>
      <c r="G241" s="118" t="s">
        <v>494</v>
      </c>
      <c r="I241" s="118" t="s">
        <v>82</v>
      </c>
      <c r="J241" s="118" t="s">
        <v>55</v>
      </c>
      <c r="K241" s="118" t="s">
        <v>56</v>
      </c>
      <c r="N241" s="118" t="s">
        <v>39</v>
      </c>
      <c r="P241" s="118" t="s">
        <v>57</v>
      </c>
      <c r="Q241" s="118" t="s">
        <v>57</v>
      </c>
      <c r="R241" s="120">
        <v>46090</v>
      </c>
      <c r="S241" s="120">
        <v>46106</v>
      </c>
      <c r="T241" s="120">
        <v>46112</v>
      </c>
      <c r="V241" s="118" t="s">
        <v>43</v>
      </c>
      <c r="X241" s="121" t="s">
        <v>1340</v>
      </c>
      <c r="Y241" s="120">
        <v>46108</v>
      </c>
      <c r="Z241" s="120">
        <v>46108</v>
      </c>
      <c r="AA241" s="118" t="s">
        <v>45</v>
      </c>
      <c r="AB241" s="118" t="s">
        <v>74</v>
      </c>
    </row>
  </sheetData>
  <autoFilter ref="A1:AC241" xr:uid="{72454DDD-A47A-4C90-B313-7706F8E5FA74}">
    <filterColumn colId="1">
      <filters>
        <filter val="Rollout of automatic carry over for annual leave"/>
      </filters>
    </filterColumn>
    <filterColumn colId="10">
      <filters blank="1">
        <filter val="BAU"/>
        <filter val="BAU Initiative"/>
      </filters>
    </filterColumn>
    <filterColumn colId="26">
      <filters blank="1">
        <filter val="In progress"/>
        <filter val="Pending/Expected"/>
        <filter val="Planning"/>
        <filter val="Scheduled"/>
      </filters>
    </filterColumn>
  </autoFilter>
  <conditionalFormatting sqref="A138:Y138 H133:AC134 A135:AC137 N125:AC131 Y210:Z210 S211:Y211 W192:AC193 A185:AC191 A215:AC215 A139:AC176 A231:U231 W231:X231 Z111:AC111 A111:X111 A232:X233 S220:X221 A234:U234 W234:X234 A178:AC183 AA111:AC230 A112:AC115 A111:W230 W194:X194 A200:AC203 X218:Y218 X217 X219:X222 U228:Y228 S227:X227 A117:AC124 Z116:AC116 X117:Y176 A116:X116 A229:X230 A177:X177 W207:Y208 A206:X206 X210:Y211 W209:X209 S212:X214 A235:X238 X178:Y193 A1:AC109 A196:AC196 A195:X195 Z194:AC195 A197:X199 Z197:AC199 X200:Y205 X215:Y216 X223:Y224 X225:X226 A239:AC1048576 Z209:Z224 Z230:AC238">
    <cfRule type="expression" dxfId="367" priority="608" stopIfTrue="1">
      <formula>$AA1="Complete"</formula>
    </cfRule>
    <cfRule type="expression" dxfId="366" priority="612" stopIfTrue="1">
      <formula>$AA1="On Hold"</formula>
    </cfRule>
    <cfRule type="expression" dxfId="365" priority="613" stopIfTrue="1">
      <formula>AND($T1&lt;&gt;"",$T1&lt;=TODAY())</formula>
    </cfRule>
    <cfRule type="expression" dxfId="364" priority="614" stopIfTrue="1">
      <formula>AND($Z1&lt;&gt;"",$Z1&lt;=TODAY())</formula>
    </cfRule>
  </conditionalFormatting>
  <conditionalFormatting sqref="Z138 G133:G134 A132:K132 N132:AC132">
    <cfRule type="expression" dxfId="363" priority="619" stopIfTrue="1">
      <formula>$AA132="Complete"</formula>
    </cfRule>
    <cfRule type="expression" dxfId="362" priority="620" stopIfTrue="1">
      <formula>$AA132="On Hold"</formula>
    </cfRule>
    <cfRule type="expression" dxfId="361" priority="621" stopIfTrue="1">
      <formula>AND(#REF!&lt;&gt;"",#REF!&lt;=TODAY())</formula>
    </cfRule>
    <cfRule type="expression" dxfId="360" priority="622" stopIfTrue="1">
      <formula>AND($Z132&lt;&gt;"",$Z132&lt;=TODAY())</formula>
    </cfRule>
  </conditionalFormatting>
  <conditionalFormatting sqref="A184:Z184 AC184">
    <cfRule type="expression" dxfId="359" priority="325" stopIfTrue="1">
      <formula>$AA184="Complete"</formula>
    </cfRule>
    <cfRule type="expression" dxfId="358" priority="326" stopIfTrue="1">
      <formula>$AA184="On Hold"</formula>
    </cfRule>
    <cfRule type="expression" dxfId="357" priority="327" stopIfTrue="1">
      <formula>AND($T184&lt;&gt;"",$T184&lt;=TODAY())</formula>
    </cfRule>
    <cfRule type="expression" dxfId="356" priority="328" stopIfTrue="1">
      <formula>AND($Z184&lt;&gt;"",$Z184&lt;=TODAY())</formula>
    </cfRule>
  </conditionalFormatting>
  <conditionalFormatting sqref="AA184:AB184">
    <cfRule type="expression" dxfId="355" priority="321" stopIfTrue="1">
      <formula>$AA184="Complete"</formula>
    </cfRule>
    <cfRule type="expression" dxfId="354" priority="322" stopIfTrue="1">
      <formula>$AA184="On Hold"</formula>
    </cfRule>
    <cfRule type="expression" dxfId="353" priority="323" stopIfTrue="1">
      <formula>AND($T184&lt;&gt;"",$T184&lt;=TODAY())</formula>
    </cfRule>
    <cfRule type="expression" dxfId="352" priority="324" stopIfTrue="1">
      <formula>AND($Z184&lt;&gt;"",$Z184&lt;=TODAY())</formula>
    </cfRule>
  </conditionalFormatting>
  <conditionalFormatting sqref="A204:AC204 W205:Z205 AC205">
    <cfRule type="expression" dxfId="351" priority="317" stopIfTrue="1">
      <formula>$AA204="Complete"</formula>
    </cfRule>
    <cfRule type="expression" dxfId="350" priority="318" stopIfTrue="1">
      <formula>$AA204="On Hold"</formula>
    </cfRule>
    <cfRule type="expression" dxfId="349" priority="319" stopIfTrue="1">
      <formula>AND($T204&lt;&gt;"",$T204&lt;=TODAY())</formula>
    </cfRule>
    <cfRule type="expression" dxfId="348" priority="320" stopIfTrue="1">
      <formula>AND($Z204&lt;&gt;"",$Z204&lt;=TODAY())</formula>
    </cfRule>
  </conditionalFormatting>
  <conditionalFormatting sqref="T205">
    <cfRule type="expression" dxfId="347" priority="313" stopIfTrue="1">
      <formula>$AA205="Complete"</formula>
    </cfRule>
    <cfRule type="expression" dxfId="346" priority="314" stopIfTrue="1">
      <formula>$AA205="On Hold"</formula>
    </cfRule>
    <cfRule type="expression" dxfId="345" priority="315" stopIfTrue="1">
      <formula>AND($T205&lt;&gt;"",$T205&lt;=TODAY())</formula>
    </cfRule>
    <cfRule type="expression" dxfId="344" priority="316" stopIfTrue="1">
      <formula>AND($Z205&lt;&gt;"",$Z205&lt;=TODAY())</formula>
    </cfRule>
  </conditionalFormatting>
  <conditionalFormatting sqref="R205">
    <cfRule type="expression" dxfId="343" priority="309" stopIfTrue="1">
      <formula>$AA205="Complete"</formula>
    </cfRule>
    <cfRule type="expression" dxfId="342" priority="310" stopIfTrue="1">
      <formula>$AA205="On Hold"</formula>
    </cfRule>
    <cfRule type="expression" dxfId="341" priority="311" stopIfTrue="1">
      <formula>AND($T205&lt;&gt;"",$T205&lt;=TODAY())</formula>
    </cfRule>
    <cfRule type="expression" dxfId="340" priority="312" stopIfTrue="1">
      <formula>AND($Z205&lt;&gt;"",$Z205&lt;=TODAY())</formula>
    </cfRule>
  </conditionalFormatting>
  <conditionalFormatting sqref="T194">
    <cfRule type="expression" dxfId="339" priority="305" stopIfTrue="1">
      <formula>$AA194="Complete"</formula>
    </cfRule>
    <cfRule type="expression" dxfId="338" priority="306" stopIfTrue="1">
      <formula>$AA194="On Hold"</formula>
    </cfRule>
    <cfRule type="expression" dxfId="337" priority="307" stopIfTrue="1">
      <formula>AND($T194&lt;&gt;"",$T194&lt;=TODAY())</formula>
    </cfRule>
    <cfRule type="expression" dxfId="336" priority="308" stopIfTrue="1">
      <formula>AND($Z194&lt;&gt;"",$Z194&lt;=TODAY())</formula>
    </cfRule>
  </conditionalFormatting>
  <conditionalFormatting sqref="G220:H221">
    <cfRule type="expression" dxfId="335" priority="301">
      <formula>$G220="Complete"</formula>
    </cfRule>
    <cfRule type="expression" dxfId="334" priority="302">
      <formula>$G220="On Hold"</formula>
    </cfRule>
    <cfRule type="expression" dxfId="333" priority="303">
      <formula>OR(AND(NOT(ISBLANK($AG220)),$AG220&lt;TODAY()),AND(NOT(ISBLANK($AH220)),$AH220&lt;TODAY()))</formula>
    </cfRule>
    <cfRule type="expression" dxfId="332" priority="304">
      <formula>OR(AND(NOT(ISBLANK($AG220)),$AG220&lt;TODAY()-7),AND(NOT(ISBLANK($AH220)),$AH220&lt;TODAY()-7))</formula>
    </cfRule>
  </conditionalFormatting>
  <conditionalFormatting sqref="R221">
    <cfRule type="expression" dxfId="331" priority="289" stopIfTrue="1">
      <formula>$AA221="Complete"</formula>
    </cfRule>
    <cfRule type="expression" dxfId="330" priority="290" stopIfTrue="1">
      <formula>$AA221="On Hold"</formula>
    </cfRule>
    <cfRule type="expression" dxfId="329" priority="291" stopIfTrue="1">
      <formula>AND($T221&lt;&gt;"",$T221&lt;=TODAY())</formula>
    </cfRule>
    <cfRule type="expression" dxfId="328" priority="292" stopIfTrue="1">
      <formula>AND($Z221&lt;&gt;"",$Z221&lt;=TODAY())</formula>
    </cfRule>
  </conditionalFormatting>
  <conditionalFormatting sqref="S228:T228">
    <cfRule type="expression" dxfId="327" priority="285" stopIfTrue="1">
      <formula>$AA228="Complete"</formula>
    </cfRule>
    <cfRule type="expression" dxfId="326" priority="286" stopIfTrue="1">
      <formula>$AA228="On Hold"</formula>
    </cfRule>
    <cfRule type="expression" dxfId="325" priority="287" stopIfTrue="1">
      <formula>AND($T228&lt;&gt;"",$T228&lt;=TODAY())</formula>
    </cfRule>
    <cfRule type="expression" dxfId="324" priority="288" stopIfTrue="1">
      <formula>AND($Z228&lt;&gt;"",$Z228&lt;=TODAY())</formula>
    </cfRule>
  </conditionalFormatting>
  <conditionalFormatting sqref="A216:AC216 Z220 A218:AC218 A217:X217 Z217:AC217 A219:X219 Z219:AC219">
    <cfRule type="expression" dxfId="323" priority="281" stopIfTrue="1">
      <formula>$AA216="Complete"</formula>
    </cfRule>
    <cfRule type="expression" dxfId="322" priority="282" stopIfTrue="1">
      <formula>$AA216="On Hold"</formula>
    </cfRule>
    <cfRule type="expression" dxfId="321" priority="283" stopIfTrue="1">
      <formula>AND($T216&lt;&gt;"",$T216&lt;=TODAY())</formula>
    </cfRule>
    <cfRule type="expression" dxfId="320" priority="284" stopIfTrue="1">
      <formula>AND($Z216&lt;&gt;"",$Z216&lt;=TODAY())</formula>
    </cfRule>
  </conditionalFormatting>
  <conditionalFormatting sqref="Z206">
    <cfRule type="expression" dxfId="319" priority="277" stopIfTrue="1">
      <formula>$AA206="Complete"</formula>
    </cfRule>
    <cfRule type="expression" dxfId="318" priority="278" stopIfTrue="1">
      <formula>$AA206="On Hold"</formula>
    </cfRule>
    <cfRule type="expression" dxfId="317" priority="279" stopIfTrue="1">
      <formula>AND($T206&lt;&gt;"",$T206&lt;=TODAY())</formula>
    </cfRule>
    <cfRule type="expression" dxfId="316" priority="280" stopIfTrue="1">
      <formula>AND($Z206&lt;&gt;"",$Z206&lt;=TODAY())</formula>
    </cfRule>
  </conditionalFormatting>
  <conditionalFormatting sqref="Z207">
    <cfRule type="expression" dxfId="315" priority="273" stopIfTrue="1">
      <formula>$AA207="Complete"</formula>
    </cfRule>
    <cfRule type="expression" dxfId="314" priority="274" stopIfTrue="1">
      <formula>$AA207="On Hold"</formula>
    </cfRule>
    <cfRule type="expression" dxfId="313" priority="275" stopIfTrue="1">
      <formula>AND($T207&lt;&gt;"",$T207&lt;=TODAY())</formula>
    </cfRule>
    <cfRule type="expression" dxfId="312" priority="276" stopIfTrue="1">
      <formula>AND($Z207&lt;&gt;"",$Z207&lt;=TODAY())</formula>
    </cfRule>
  </conditionalFormatting>
  <conditionalFormatting sqref="Z211">
    <cfRule type="expression" dxfId="311" priority="265" stopIfTrue="1">
      <formula>$AA211="Complete"</formula>
    </cfRule>
    <cfRule type="expression" dxfId="310" priority="266" stopIfTrue="1">
      <formula>$AA211="On Hold"</formula>
    </cfRule>
    <cfRule type="expression" dxfId="309" priority="267" stopIfTrue="1">
      <formula>AND($T211&lt;&gt;"",$T211&lt;=TODAY())</formula>
    </cfRule>
    <cfRule type="expression" dxfId="308" priority="268" stopIfTrue="1">
      <formula>AND($Z211&lt;&gt;"",$Z211&lt;=TODAY())</formula>
    </cfRule>
  </conditionalFormatting>
  <conditionalFormatting sqref="Z213">
    <cfRule type="expression" dxfId="307" priority="261" stopIfTrue="1">
      <formula>$AA213="Complete"</formula>
    </cfRule>
    <cfRule type="expression" dxfId="306" priority="262" stopIfTrue="1">
      <formula>$AA213="On Hold"</formula>
    </cfRule>
    <cfRule type="expression" dxfId="305" priority="263" stopIfTrue="1">
      <formula>AND($T213&lt;&gt;"",$T213&lt;=TODAY())</formula>
    </cfRule>
    <cfRule type="expression" dxfId="304" priority="264" stopIfTrue="1">
      <formula>AND($Z213&lt;&gt;"",$Z213&lt;=TODAY())</formula>
    </cfRule>
  </conditionalFormatting>
  <conditionalFormatting sqref="Z214">
    <cfRule type="expression" dxfId="303" priority="257" stopIfTrue="1">
      <formula>$AA214="Complete"</formula>
    </cfRule>
    <cfRule type="expression" dxfId="302" priority="258" stopIfTrue="1">
      <formula>$AA214="On Hold"</formula>
    </cfRule>
    <cfRule type="expression" dxfId="301" priority="259" stopIfTrue="1">
      <formula>AND($T214&lt;&gt;"",$T214&lt;=TODAY())</formula>
    </cfRule>
    <cfRule type="expression" dxfId="300" priority="260" stopIfTrue="1">
      <formula>AND($Z214&lt;&gt;"",$Z214&lt;=TODAY())</formula>
    </cfRule>
  </conditionalFormatting>
  <conditionalFormatting sqref="Z220">
    <cfRule type="expression" dxfId="299" priority="249" stopIfTrue="1">
      <formula>$AA220="Complete"</formula>
    </cfRule>
    <cfRule type="expression" dxfId="298" priority="250" stopIfTrue="1">
      <formula>$AA220="On Hold"</formula>
    </cfRule>
    <cfRule type="expression" dxfId="297" priority="251" stopIfTrue="1">
      <formula>AND($T220&lt;&gt;"",$T220&lt;=TODAY())</formula>
    </cfRule>
    <cfRule type="expression" dxfId="296" priority="252" stopIfTrue="1">
      <formula>AND($Z220&lt;&gt;"",$Z220&lt;=TODAY())</formula>
    </cfRule>
  </conditionalFormatting>
  <conditionalFormatting sqref="Z221">
    <cfRule type="expression" dxfId="295" priority="245" stopIfTrue="1">
      <formula>$AA221="Complete"</formula>
    </cfRule>
    <cfRule type="expression" dxfId="294" priority="246" stopIfTrue="1">
      <formula>$AA221="On Hold"</formula>
    </cfRule>
    <cfRule type="expression" dxfId="293" priority="247" stopIfTrue="1">
      <formula>AND($T221&lt;&gt;"",$T221&lt;=TODAY())</formula>
    </cfRule>
    <cfRule type="expression" dxfId="292" priority="248" stopIfTrue="1">
      <formula>AND($Z221&lt;&gt;"",$Z221&lt;=TODAY())</formula>
    </cfRule>
  </conditionalFormatting>
  <conditionalFormatting sqref="Z222">
    <cfRule type="expression" dxfId="291" priority="241" stopIfTrue="1">
      <formula>$AA222="Complete"</formula>
    </cfRule>
    <cfRule type="expression" dxfId="290" priority="242" stopIfTrue="1">
      <formula>$AA222="On Hold"</formula>
    </cfRule>
    <cfRule type="expression" dxfId="289" priority="243" stopIfTrue="1">
      <formula>AND($T222&lt;&gt;"",$T222&lt;=TODAY())</formula>
    </cfRule>
    <cfRule type="expression" dxfId="288" priority="244" stopIfTrue="1">
      <formula>AND($Z222&lt;&gt;"",$Z222&lt;=TODAY())</formula>
    </cfRule>
  </conditionalFormatting>
  <conditionalFormatting sqref="Z227">
    <cfRule type="expression" dxfId="287" priority="233" stopIfTrue="1">
      <formula>$AA227="Complete"</formula>
    </cfRule>
    <cfRule type="expression" dxfId="286" priority="234" stopIfTrue="1">
      <formula>$AA227="On Hold"</formula>
    </cfRule>
    <cfRule type="expression" dxfId="285" priority="235" stopIfTrue="1">
      <formula>AND($T227&lt;&gt;"",$T227&lt;=TODAY())</formula>
    </cfRule>
    <cfRule type="expression" dxfId="284" priority="236" stopIfTrue="1">
      <formula>AND($Z227&lt;&gt;"",$Z227&lt;=TODAY())</formula>
    </cfRule>
  </conditionalFormatting>
  <conditionalFormatting sqref="Z228">
    <cfRule type="expression" dxfId="283" priority="229" stopIfTrue="1">
      <formula>$AA228="Complete"</formula>
    </cfRule>
    <cfRule type="expression" dxfId="282" priority="230" stopIfTrue="1">
      <formula>$AA228="On Hold"</formula>
    </cfRule>
    <cfRule type="expression" dxfId="281" priority="231" stopIfTrue="1">
      <formula>AND($T228&lt;&gt;"",$T228&lt;=TODAY())</formula>
    </cfRule>
    <cfRule type="expression" dxfId="280" priority="232" stopIfTrue="1">
      <formula>AND($Z228&lt;&gt;"",$Z228&lt;=TODAY())</formula>
    </cfRule>
  </conditionalFormatting>
  <conditionalFormatting sqref="Z229">
    <cfRule type="expression" dxfId="279" priority="225" stopIfTrue="1">
      <formula>$AA229="Complete"</formula>
    </cfRule>
    <cfRule type="expression" dxfId="278" priority="226" stopIfTrue="1">
      <formula>$AA229="On Hold"</formula>
    </cfRule>
    <cfRule type="expression" dxfId="277" priority="227" stopIfTrue="1">
      <formula>AND($T229&lt;&gt;"",$T229&lt;=TODAY())</formula>
    </cfRule>
    <cfRule type="expression" dxfId="276" priority="228" stopIfTrue="1">
      <formula>AND($Z229&lt;&gt;"",$Z229&lt;=TODAY())</formula>
    </cfRule>
  </conditionalFormatting>
  <conditionalFormatting sqref="Z223">
    <cfRule type="expression" dxfId="275" priority="221" stopIfTrue="1">
      <formula>$AA223="Complete"</formula>
    </cfRule>
    <cfRule type="expression" dxfId="274" priority="222" stopIfTrue="1">
      <formula>$AA223="On Hold"</formula>
    </cfRule>
    <cfRule type="expression" dxfId="273" priority="223" stopIfTrue="1">
      <formula>AND($T223&lt;&gt;"",$T223&lt;=TODAY())</formula>
    </cfRule>
    <cfRule type="expression" dxfId="272" priority="224" stopIfTrue="1">
      <formula>AND($Z223&lt;&gt;"",$Z223&lt;=TODAY())</formula>
    </cfRule>
  </conditionalFormatting>
  <conditionalFormatting sqref="Z224">
    <cfRule type="expression" dxfId="271" priority="217" stopIfTrue="1">
      <formula>$AA224="Complete"</formula>
    </cfRule>
    <cfRule type="expression" dxfId="270" priority="218" stopIfTrue="1">
      <formula>$AA224="On Hold"</formula>
    </cfRule>
    <cfRule type="expression" dxfId="269" priority="219" stopIfTrue="1">
      <formula>AND($T224&lt;&gt;"",$T224&lt;=TODAY())</formula>
    </cfRule>
    <cfRule type="expression" dxfId="268" priority="220" stopIfTrue="1">
      <formula>AND($Z224&lt;&gt;"",$Z224&lt;=TODAY())</formula>
    </cfRule>
  </conditionalFormatting>
  <conditionalFormatting sqref="AA205:AA212">
    <cfRule type="expression" dxfId="267" priority="201" stopIfTrue="1">
      <formula>$AA205="Complete"</formula>
    </cfRule>
    <cfRule type="expression" dxfId="266" priority="202" stopIfTrue="1">
      <formula>$AA205="On Hold"</formula>
    </cfRule>
    <cfRule type="expression" dxfId="265" priority="203" stopIfTrue="1">
      <formula>AND($T205&lt;&gt;"",$T205&lt;=TODAY())</formula>
    </cfRule>
    <cfRule type="expression" dxfId="264" priority="204" stopIfTrue="1">
      <formula>AND($Z205&lt;&gt;"",$Z205&lt;=TODAY())</formula>
    </cfRule>
  </conditionalFormatting>
  <conditionalFormatting sqref="Z65:Z109 Z226:Z230 Z111:Z176 Z178:Z207">
    <cfRule type="expression" dxfId="263" priority="209" stopIfTrue="1">
      <formula>$AA65="Complete"</formula>
    </cfRule>
    <cfRule type="expression" dxfId="262" priority="210" stopIfTrue="1">
      <formula>$AA65="On Hold"</formula>
    </cfRule>
    <cfRule type="expression" dxfId="261" priority="211" stopIfTrue="1">
      <formula>AND($T65&lt;&gt;"",$T65&lt;=TODAY())</formula>
    </cfRule>
    <cfRule type="expression" dxfId="260" priority="212" stopIfTrue="1">
      <formula>AND($Z65&lt;&gt;"",$Z65&lt;=TODAY())</formula>
    </cfRule>
  </conditionalFormatting>
  <conditionalFormatting sqref="AB205:AB214">
    <cfRule type="expression" dxfId="259" priority="197" stopIfTrue="1">
      <formula>$AA205="Complete"</formula>
    </cfRule>
    <cfRule type="expression" dxfId="258" priority="198" stopIfTrue="1">
      <formula>$AA205="On Hold"</formula>
    </cfRule>
    <cfRule type="expression" dxfId="257" priority="199" stopIfTrue="1">
      <formula>AND($T205&lt;&gt;"",$T205&lt;=TODAY())</formula>
    </cfRule>
    <cfRule type="expression" dxfId="256" priority="200" stopIfTrue="1">
      <formula>AND($Z205&lt;&gt;"",$Z205&lt;=TODAY())</formula>
    </cfRule>
  </conditionalFormatting>
  <conditionalFormatting sqref="Y218">
    <cfRule type="expression" dxfId="255" priority="193" stopIfTrue="1">
      <formula>$AA218="Complete"</formula>
    </cfRule>
    <cfRule type="expression" dxfId="254" priority="194" stopIfTrue="1">
      <formula>$AA218="On Hold"</formula>
    </cfRule>
    <cfRule type="expression" dxfId="253" priority="195" stopIfTrue="1">
      <formula>AND($T218&lt;&gt;"",$T218&lt;=TODAY())</formula>
    </cfRule>
    <cfRule type="expression" dxfId="252" priority="196" stopIfTrue="1">
      <formula>AND($Z218&lt;&gt;"",$Z218&lt;=TODAY())</formula>
    </cfRule>
  </conditionalFormatting>
  <conditionalFormatting sqref="A222:W225">
    <cfRule type="expression" dxfId="251" priority="189" stopIfTrue="1">
      <formula>$AA222="Complete"</formula>
    </cfRule>
    <cfRule type="expression" dxfId="250" priority="190" stopIfTrue="1">
      <formula>$AA222="On Hold"</formula>
    </cfRule>
    <cfRule type="expression" dxfId="249" priority="191" stopIfTrue="1">
      <formula>AND($T222&lt;&gt;"",$T222&lt;=TODAY())</formula>
    </cfRule>
    <cfRule type="expression" dxfId="248" priority="192" stopIfTrue="1">
      <formula>AND($Z222&lt;&gt;"",$Z222&lt;=TODAY())</formula>
    </cfRule>
  </conditionalFormatting>
  <conditionalFormatting sqref="J231:K231 M231:P231 A65:W109 N232:O232 K232:K233">
    <cfRule type="expression" dxfId="247" priority="185" stopIfTrue="1">
      <formula>$AA65="Complete"</formula>
    </cfRule>
    <cfRule type="expression" dxfId="246" priority="186" stopIfTrue="1">
      <formula>$AA65="On Hold"</formula>
    </cfRule>
    <cfRule type="expression" dxfId="245" priority="187" stopIfTrue="1">
      <formula>AND($T65&lt;&gt;"",$T65&lt;=TODAY())</formula>
    </cfRule>
    <cfRule type="expression" dxfId="244" priority="188" stopIfTrue="1">
      <formula>AND($Z65&lt;&gt;"",$Z65&lt;=TODAY())</formula>
    </cfRule>
  </conditionalFormatting>
  <conditionalFormatting sqref="Z208">
    <cfRule type="expression" dxfId="243" priority="181" stopIfTrue="1">
      <formula>$AA208="Complete"</formula>
    </cfRule>
    <cfRule type="expression" dxfId="242" priority="182" stopIfTrue="1">
      <formula>$AA208="On Hold"</formula>
    </cfRule>
    <cfRule type="expression" dxfId="241" priority="183" stopIfTrue="1">
      <formula>AND($T208&lt;&gt;"",$T208&lt;=TODAY())</formula>
    </cfRule>
    <cfRule type="expression" dxfId="240" priority="184" stopIfTrue="1">
      <formula>AND($Z208&lt;&gt;"",$Z208&lt;=TODAY())</formula>
    </cfRule>
  </conditionalFormatting>
  <conditionalFormatting sqref="R222:R226 R218 R208 R194 R184">
    <cfRule type="expression" dxfId="239" priority="177" stopIfTrue="1">
      <formula>$AA184="Complete"</formula>
    </cfRule>
    <cfRule type="expression" dxfId="238" priority="178" stopIfTrue="1">
      <formula>$AA184="On Hold"</formula>
    </cfRule>
    <cfRule type="expression" dxfId="237" priority="179" stopIfTrue="1">
      <formula>AND($T184&lt;&gt;"",$T184&lt;=TODAY())</formula>
    </cfRule>
    <cfRule type="expression" dxfId="236" priority="180" stopIfTrue="1">
      <formula>AND($Z184&lt;&gt;"",$Z184&lt;=TODAY())</formula>
    </cfRule>
  </conditionalFormatting>
  <conditionalFormatting sqref="I231">
    <cfRule type="expression" dxfId="235" priority="173" stopIfTrue="1">
      <formula>$AA231="Complete"</formula>
    </cfRule>
    <cfRule type="expression" dxfId="234" priority="174" stopIfTrue="1">
      <formula>$AA231="On Hold"</formula>
    </cfRule>
    <cfRule type="expression" dxfId="233" priority="175" stopIfTrue="1">
      <formula>AND($T231&lt;&gt;"",$T231&lt;=TODAY())</formula>
    </cfRule>
    <cfRule type="expression" dxfId="232" priority="176" stopIfTrue="1">
      <formula>AND($Z231&lt;&gt;"",$Z231&lt;=TODAY())</formula>
    </cfRule>
  </conditionalFormatting>
  <conditionalFormatting sqref="L231">
    <cfRule type="expression" dxfId="231" priority="169" stopIfTrue="1">
      <formula>$AA231="Complete"</formula>
    </cfRule>
    <cfRule type="expression" dxfId="230" priority="170" stopIfTrue="1">
      <formula>$AA231="On Hold"</formula>
    </cfRule>
    <cfRule type="expression" dxfId="229" priority="171" stopIfTrue="1">
      <formula>AND($T231&lt;&gt;"",$T231&lt;=TODAY())</formula>
    </cfRule>
    <cfRule type="expression" dxfId="228" priority="172" stopIfTrue="1">
      <formula>AND($Z231&lt;&gt;"",$Z231&lt;=TODAY())</formula>
    </cfRule>
  </conditionalFormatting>
  <conditionalFormatting sqref="V231">
    <cfRule type="expression" dxfId="227" priority="165" stopIfTrue="1">
      <formula>$AA231="Complete"</formula>
    </cfRule>
    <cfRule type="expression" dxfId="226" priority="166" stopIfTrue="1">
      <formula>$AA231="On Hold"</formula>
    </cfRule>
    <cfRule type="expression" dxfId="225" priority="167" stopIfTrue="1">
      <formula>AND($T231&lt;&gt;"",$T231&lt;=TODAY())</formula>
    </cfRule>
    <cfRule type="expression" dxfId="224" priority="168" stopIfTrue="1">
      <formula>AND($Z231&lt;&gt;"",$Z231&lt;=TODAY())</formula>
    </cfRule>
  </conditionalFormatting>
  <conditionalFormatting sqref="V231">
    <cfRule type="expression" dxfId="223" priority="161" stopIfTrue="1">
      <formula>$AA231="Complete"</formula>
    </cfRule>
    <cfRule type="expression" dxfId="222" priority="162" stopIfTrue="1">
      <formula>$AA231="On Hold"</formula>
    </cfRule>
    <cfRule type="expression" dxfId="221" priority="163" stopIfTrue="1">
      <formula>AND($T231&lt;&gt;"",$T231&lt;=TODAY())</formula>
    </cfRule>
    <cfRule type="expression" dxfId="220" priority="164" stopIfTrue="1">
      <formula>AND($Z231&lt;&gt;"",$Z231&lt;=TODAY())</formula>
    </cfRule>
  </conditionalFormatting>
  <conditionalFormatting sqref="Z226">
    <cfRule type="expression" dxfId="219" priority="157" stopIfTrue="1">
      <formula>$AA226="Complete"</formula>
    </cfRule>
    <cfRule type="expression" dxfId="218" priority="158" stopIfTrue="1">
      <formula>$AA226="On Hold"</formula>
    </cfRule>
    <cfRule type="expression" dxfId="217" priority="159" stopIfTrue="1">
      <formula>AND($T226&lt;&gt;"",$T226&lt;=TODAY())</formula>
    </cfRule>
    <cfRule type="expression" dxfId="216" priority="160" stopIfTrue="1">
      <formula>AND($Z226&lt;&gt;"",$Z226&lt;=TODAY())</formula>
    </cfRule>
  </conditionalFormatting>
  <conditionalFormatting sqref="A110:X110 Z110:AC110">
    <cfRule type="expression" dxfId="215" priority="153" stopIfTrue="1">
      <formula>$AA110="Complete"</formula>
    </cfRule>
    <cfRule type="expression" dxfId="214" priority="154" stopIfTrue="1">
      <formula>$AA110="On Hold"</formula>
    </cfRule>
    <cfRule type="expression" dxfId="213" priority="155" stopIfTrue="1">
      <formula>AND($T110&lt;&gt;"",$T110&lt;=TODAY())</formula>
    </cfRule>
    <cfRule type="expression" dxfId="212" priority="156" stopIfTrue="1">
      <formula>AND($Z110&lt;&gt;"",$Z110&lt;=TODAY())</formula>
    </cfRule>
  </conditionalFormatting>
  <conditionalFormatting sqref="Z110">
    <cfRule type="expression" dxfId="211" priority="149" stopIfTrue="1">
      <formula>$AA110="Complete"</formula>
    </cfRule>
    <cfRule type="expression" dxfId="210" priority="150" stopIfTrue="1">
      <formula>$AA110="On Hold"</formula>
    </cfRule>
    <cfRule type="expression" dxfId="209" priority="151" stopIfTrue="1">
      <formula>AND($T110&lt;&gt;"",$T110&lt;=TODAY())</formula>
    </cfRule>
    <cfRule type="expression" dxfId="208" priority="152" stopIfTrue="1">
      <formula>AND($Z110&lt;&gt;"",$Z110&lt;=TODAY())</formula>
    </cfRule>
  </conditionalFormatting>
  <conditionalFormatting sqref="A110:W110">
    <cfRule type="expression" dxfId="207" priority="145" stopIfTrue="1">
      <formula>$AA110="Complete"</formula>
    </cfRule>
    <cfRule type="expression" dxfId="206" priority="146" stopIfTrue="1">
      <formula>$AA110="On Hold"</formula>
    </cfRule>
    <cfRule type="expression" dxfId="205" priority="147" stopIfTrue="1">
      <formula>AND($T110&lt;&gt;"",$T110&lt;=TODAY())</formula>
    </cfRule>
    <cfRule type="expression" dxfId="204" priority="148" stopIfTrue="1">
      <formula>AND($Z110&lt;&gt;"",$Z110&lt;=TODAY())</formula>
    </cfRule>
  </conditionalFormatting>
  <conditionalFormatting sqref="R232:T232">
    <cfRule type="expression" dxfId="203" priority="141" stopIfTrue="1">
      <formula>$AA232="Complete"</formula>
    </cfRule>
    <cfRule type="expression" dxfId="202" priority="142" stopIfTrue="1">
      <formula>$AA232="On Hold"</formula>
    </cfRule>
    <cfRule type="expression" dxfId="201" priority="143" stopIfTrue="1">
      <formula>AND($T232&lt;&gt;"",$T232&lt;=TODAY())</formula>
    </cfRule>
    <cfRule type="expression" dxfId="200" priority="144" stopIfTrue="1">
      <formula>AND($Z232&lt;&gt;"",$Z232&lt;=TODAY())</formula>
    </cfRule>
  </conditionalFormatting>
  <conditionalFormatting sqref="F232">
    <cfRule type="expression" dxfId="199" priority="137" stopIfTrue="1">
      <formula>$AA232="Complete"</formula>
    </cfRule>
    <cfRule type="expression" dxfId="198" priority="138" stopIfTrue="1">
      <formula>$AA232="On Hold"</formula>
    </cfRule>
    <cfRule type="expression" dxfId="197" priority="139" stopIfTrue="1">
      <formula>AND($T232&lt;&gt;"",$T232&lt;=TODAY())</formula>
    </cfRule>
    <cfRule type="expression" dxfId="196" priority="140" stopIfTrue="1">
      <formula>AND($Z232&lt;&gt;"",$Z232&lt;=TODAY())</formula>
    </cfRule>
  </conditionalFormatting>
  <conditionalFormatting sqref="J233">
    <cfRule type="expression" dxfId="195" priority="129" stopIfTrue="1">
      <formula>$AA233="Complete"</formula>
    </cfRule>
    <cfRule type="expression" dxfId="194" priority="130" stopIfTrue="1">
      <formula>$AA233="On Hold"</formula>
    </cfRule>
    <cfRule type="expression" dxfId="193" priority="131" stopIfTrue="1">
      <formula>AND($T233&lt;&gt;"",$T233&lt;=TODAY())</formula>
    </cfRule>
    <cfRule type="expression" dxfId="192" priority="132" stopIfTrue="1">
      <formula>AND($Z233&lt;&gt;"",$Z233&lt;=TODAY())</formula>
    </cfRule>
  </conditionalFormatting>
  <conditionalFormatting sqref="F233">
    <cfRule type="expression" dxfId="191" priority="125" stopIfTrue="1">
      <formula>$AA233="Complete"</formula>
    </cfRule>
    <cfRule type="expression" dxfId="190" priority="126" stopIfTrue="1">
      <formula>$AA233="On Hold"</formula>
    </cfRule>
    <cfRule type="expression" dxfId="189" priority="127" stopIfTrue="1">
      <formula>AND($T233&lt;&gt;"",$T233&lt;=TODAY())</formula>
    </cfRule>
    <cfRule type="expression" dxfId="188" priority="128" stopIfTrue="1">
      <formula>AND($Z233&lt;&gt;"",$Z233&lt;=TODAY())</formula>
    </cfRule>
  </conditionalFormatting>
  <conditionalFormatting sqref="Y230">
    <cfRule type="expression" dxfId="187" priority="121" stopIfTrue="1">
      <formula>$AA230="Complete"</formula>
    </cfRule>
    <cfRule type="expression" dxfId="186" priority="122" stopIfTrue="1">
      <formula>$AA230="On Hold"</formula>
    </cfRule>
    <cfRule type="expression" dxfId="185" priority="123" stopIfTrue="1">
      <formula>AND($T230&lt;&gt;"",$T230&lt;=TODAY())</formula>
    </cfRule>
    <cfRule type="expression" dxfId="184" priority="124" stopIfTrue="1">
      <formula>AND($Z230&lt;&gt;"",$Z230&lt;=TODAY())</formula>
    </cfRule>
  </conditionalFormatting>
  <conditionalFormatting sqref="Z225">
    <cfRule type="expression" dxfId="183" priority="113" stopIfTrue="1">
      <formula>$AA225="Complete"</formula>
    </cfRule>
    <cfRule type="expression" dxfId="182" priority="114" stopIfTrue="1">
      <formula>$AA225="On Hold"</formula>
    </cfRule>
    <cfRule type="expression" dxfId="181" priority="115" stopIfTrue="1">
      <formula>AND($T225&lt;&gt;"",$T225&lt;=TODAY())</formula>
    </cfRule>
    <cfRule type="expression" dxfId="180" priority="116" stopIfTrue="1">
      <formula>AND($Z225&lt;&gt;"",$Z225&lt;=TODAY())</formula>
    </cfRule>
  </conditionalFormatting>
  <conditionalFormatting sqref="Z196">
    <cfRule type="expression" dxfId="179" priority="105" stopIfTrue="1">
      <formula>$AA196="Complete"</formula>
    </cfRule>
    <cfRule type="expression" dxfId="178" priority="106" stopIfTrue="1">
      <formula>$AA196="On Hold"</formula>
    </cfRule>
    <cfRule type="expression" dxfId="177" priority="107" stopIfTrue="1">
      <formula>AND($T196&lt;&gt;"",$T196&lt;=TODAY())</formula>
    </cfRule>
    <cfRule type="expression" dxfId="176" priority="108" stopIfTrue="1">
      <formula>AND($Z196&lt;&gt;"",$Z196&lt;=TODAY())</formula>
    </cfRule>
  </conditionalFormatting>
  <conditionalFormatting sqref="V234">
    <cfRule type="expression" dxfId="175" priority="101" stopIfTrue="1">
      <formula>$AA234="Complete"</formula>
    </cfRule>
    <cfRule type="expression" dxfId="174" priority="102" stopIfTrue="1">
      <formula>$AA234="On Hold"</formula>
    </cfRule>
    <cfRule type="expression" dxfId="173" priority="103" stopIfTrue="1">
      <formula>AND($T234&lt;&gt;"",$T234&lt;=TODAY())</formula>
    </cfRule>
    <cfRule type="expression" dxfId="172" priority="104" stopIfTrue="1">
      <formula>AND($Z234&lt;&gt;"",$Z234&lt;=TODAY())</formula>
    </cfRule>
  </conditionalFormatting>
  <conditionalFormatting sqref="V234">
    <cfRule type="expression" dxfId="171" priority="97" stopIfTrue="1">
      <formula>$AA234="Complete"</formula>
    </cfRule>
    <cfRule type="expression" dxfId="170" priority="98" stopIfTrue="1">
      <formula>$AA234="On Hold"</formula>
    </cfRule>
    <cfRule type="expression" dxfId="169" priority="99" stopIfTrue="1">
      <formula>AND($T234&lt;&gt;"",$T234&lt;=TODAY())</formula>
    </cfRule>
    <cfRule type="expression" dxfId="168" priority="100" stopIfTrue="1">
      <formula>AND($Z234&lt;&gt;"",$Z234&lt;=TODAY())</formula>
    </cfRule>
  </conditionalFormatting>
  <conditionalFormatting sqref="Y232">
    <cfRule type="expression" dxfId="167" priority="85" stopIfTrue="1">
      <formula>$AA232="Complete"</formula>
    </cfRule>
    <cfRule type="expression" dxfId="166" priority="86" stopIfTrue="1">
      <formula>$AA232="On Hold"</formula>
    </cfRule>
    <cfRule type="expression" dxfId="165" priority="87" stopIfTrue="1">
      <formula>AND($T232&lt;&gt;"",$T232&lt;=TODAY())</formula>
    </cfRule>
    <cfRule type="expression" dxfId="164" priority="88" stopIfTrue="1">
      <formula>AND($Z232&lt;&gt;"",$Z232&lt;=TODAY())</formula>
    </cfRule>
  </conditionalFormatting>
  <conditionalFormatting sqref="Z236">
    <cfRule type="expression" dxfId="163" priority="81" stopIfTrue="1">
      <formula>$AA236="Complete"</formula>
    </cfRule>
    <cfRule type="expression" dxfId="162" priority="82" stopIfTrue="1">
      <formula>$AA236="On Hold"</formula>
    </cfRule>
    <cfRule type="expression" dxfId="161" priority="83" stopIfTrue="1">
      <formula>AND($T236&lt;&gt;"",$T236&lt;=TODAY())</formula>
    </cfRule>
    <cfRule type="expression" dxfId="160" priority="84" stopIfTrue="1">
      <formula>AND($Z236&lt;&gt;"",$Z236&lt;=TODAY())</formula>
    </cfRule>
  </conditionalFormatting>
  <conditionalFormatting sqref="Y217 Y214 Y199 Y222">
    <cfRule type="expression" dxfId="159" priority="69" stopIfTrue="1">
      <formula>$AA199="Complete"</formula>
    </cfRule>
    <cfRule type="expression" dxfId="158" priority="70" stopIfTrue="1">
      <formula>$AA199="On Hold"</formula>
    </cfRule>
    <cfRule type="expression" dxfId="157" priority="71" stopIfTrue="1">
      <formula>AND($T199&lt;&gt;"",$T199&lt;=TODAY())</formula>
    </cfRule>
    <cfRule type="expression" dxfId="156" priority="72" stopIfTrue="1">
      <formula>AND($Z199&lt;&gt;"",$Z199&lt;=TODAY())</formula>
    </cfRule>
  </conditionalFormatting>
  <conditionalFormatting sqref="Y217 Y214 Y199 Y222">
    <cfRule type="expression" dxfId="155" priority="65" stopIfTrue="1">
      <formula>$AA199="Complete"</formula>
    </cfRule>
    <cfRule type="expression" dxfId="154" priority="66" stopIfTrue="1">
      <formula>$AA199="On Hold"</formula>
    </cfRule>
    <cfRule type="expression" dxfId="153" priority="67" stopIfTrue="1">
      <formula>AND($T199&lt;&gt;"",$T199&lt;=TODAY())</formula>
    </cfRule>
    <cfRule type="expression" dxfId="152" priority="68" stopIfTrue="1">
      <formula>AND($Z199&lt;&gt;"",$Z199&lt;=TODAY())</formula>
    </cfRule>
  </conditionalFormatting>
  <conditionalFormatting sqref="Y116">
    <cfRule type="expression" dxfId="151" priority="61" stopIfTrue="1">
      <formula>$AA116="Complete"</formula>
    </cfRule>
    <cfRule type="expression" dxfId="150" priority="62" stopIfTrue="1">
      <formula>$AA116="On Hold"</formula>
    </cfRule>
    <cfRule type="expression" dxfId="149" priority="63" stopIfTrue="1">
      <formula>AND($T116&lt;&gt;"",$T116&lt;=TODAY())</formula>
    </cfRule>
    <cfRule type="expression" dxfId="148" priority="64" stopIfTrue="1">
      <formula>AND($Z116&lt;&gt;"",$Z116&lt;=TODAY())</formula>
    </cfRule>
  </conditionalFormatting>
  <conditionalFormatting sqref="Y116">
    <cfRule type="expression" dxfId="147" priority="57" stopIfTrue="1">
      <formula>$AA116="Complete"</formula>
    </cfRule>
    <cfRule type="expression" dxfId="146" priority="58" stopIfTrue="1">
      <formula>$AA116="On Hold"</formula>
    </cfRule>
    <cfRule type="expression" dxfId="145" priority="59" stopIfTrue="1">
      <formula>AND($T116&lt;&gt;"",$T116&lt;=TODAY())</formula>
    </cfRule>
    <cfRule type="expression" dxfId="144" priority="60" stopIfTrue="1">
      <formula>AND($Z116&lt;&gt;"",$Z116&lt;=TODAY())</formula>
    </cfRule>
  </conditionalFormatting>
  <conditionalFormatting sqref="Y229">
    <cfRule type="expression" dxfId="143" priority="53" stopIfTrue="1">
      <formula>$AA229="Complete"</formula>
    </cfRule>
    <cfRule type="expression" dxfId="142" priority="54" stopIfTrue="1">
      <formula>$AA229="On Hold"</formula>
    </cfRule>
    <cfRule type="expression" dxfId="141" priority="55" stopIfTrue="1">
      <formula>AND($T229&lt;&gt;"",$T229&lt;=TODAY())</formula>
    </cfRule>
    <cfRule type="expression" dxfId="140" priority="56" stopIfTrue="1">
      <formula>AND($Z229&lt;&gt;"",$Z229&lt;=TODAY())</formula>
    </cfRule>
  </conditionalFormatting>
  <conditionalFormatting sqref="Y229">
    <cfRule type="expression" dxfId="139" priority="49" stopIfTrue="1">
      <formula>$AA229="Complete"</formula>
    </cfRule>
    <cfRule type="expression" dxfId="138" priority="50" stopIfTrue="1">
      <formula>$AA229="On Hold"</formula>
    </cfRule>
    <cfRule type="expression" dxfId="137" priority="51" stopIfTrue="1">
      <formula>AND($T229&lt;&gt;"",$T229&lt;=TODAY())</formula>
    </cfRule>
    <cfRule type="expression" dxfId="136" priority="52" stopIfTrue="1">
      <formula>AND($Z229&lt;&gt;"",$Z229&lt;=TODAY())</formula>
    </cfRule>
  </conditionalFormatting>
  <conditionalFormatting sqref="Z220">
    <cfRule type="expression" dxfId="135" priority="45" stopIfTrue="1">
      <formula>$AA220="Complete"</formula>
    </cfRule>
    <cfRule type="expression" dxfId="134" priority="46" stopIfTrue="1">
      <formula>$AA220="On Hold"</formula>
    </cfRule>
    <cfRule type="expression" dxfId="133" priority="47" stopIfTrue="1">
      <formula>AND($T220&lt;&gt;"",$T220&lt;=TODAY())</formula>
    </cfRule>
    <cfRule type="expression" dxfId="132" priority="48" stopIfTrue="1">
      <formula>AND($Z220&lt;&gt;"",$Z220&lt;=TODAY())</formula>
    </cfRule>
  </conditionalFormatting>
  <conditionalFormatting sqref="Y212 Y177 Y110:Y111">
    <cfRule type="expression" dxfId="131" priority="41" stopIfTrue="1">
      <formula>$AA110="Complete"</formula>
    </cfRule>
    <cfRule type="expression" dxfId="130" priority="42" stopIfTrue="1">
      <formula>$AA110="On Hold"</formula>
    </cfRule>
    <cfRule type="expression" dxfId="129" priority="43" stopIfTrue="1">
      <formula>AND($T110&lt;&gt;"",$T110&lt;=TODAY())</formula>
    </cfRule>
    <cfRule type="expression" dxfId="128" priority="44" stopIfTrue="1">
      <formula>AND($Z110&lt;&gt;"",$Z110&lt;=TODAY())</formula>
    </cfRule>
  </conditionalFormatting>
  <conditionalFormatting sqref="Y212 Y177 Y110:Y111">
    <cfRule type="expression" dxfId="127" priority="37" stopIfTrue="1">
      <formula>$AA110="Complete"</formula>
    </cfRule>
    <cfRule type="expression" dxfId="126" priority="38" stopIfTrue="1">
      <formula>$AA110="On Hold"</formula>
    </cfRule>
    <cfRule type="expression" dxfId="125" priority="39" stopIfTrue="1">
      <formula>AND($T110&lt;&gt;"",$T110&lt;=TODAY())</formula>
    </cfRule>
    <cfRule type="expression" dxfId="124" priority="40" stopIfTrue="1">
      <formula>AND($Z110&lt;&gt;"",$Z110&lt;=TODAY())</formula>
    </cfRule>
  </conditionalFormatting>
  <conditionalFormatting sqref="Z177">
    <cfRule type="expression" dxfId="123" priority="25" stopIfTrue="1">
      <formula>$AA177="Complete"</formula>
    </cfRule>
    <cfRule type="expression" dxfId="122" priority="26" stopIfTrue="1">
      <formula>$AA177="On Hold"</formula>
    </cfRule>
    <cfRule type="expression" dxfId="121" priority="27" stopIfTrue="1">
      <formula>AND($T177&lt;&gt;"",$T177&lt;=TODAY())</formula>
    </cfRule>
    <cfRule type="expression" dxfId="120" priority="28" stopIfTrue="1">
      <formula>AND($Z177&lt;&gt;"",$Z177&lt;=TODAY())</formula>
    </cfRule>
  </conditionalFormatting>
  <conditionalFormatting sqref="Z177">
    <cfRule type="expression" dxfId="119" priority="21" stopIfTrue="1">
      <formula>$AA177="Complete"</formula>
    </cfRule>
    <cfRule type="expression" dxfId="118" priority="22" stopIfTrue="1">
      <formula>$AA177="On Hold"</formula>
    </cfRule>
    <cfRule type="expression" dxfId="117" priority="23" stopIfTrue="1">
      <formula>AND($T177&lt;&gt;"",$T177&lt;=TODAY())</formula>
    </cfRule>
    <cfRule type="expression" dxfId="116" priority="24" stopIfTrue="1">
      <formula>AND($Z177&lt;&gt;"",$Z177&lt;=TODAY())</formula>
    </cfRule>
  </conditionalFormatting>
  <conditionalFormatting sqref="Y233:Y238 Y231 Y225:Y227 Y219:Y221 Y213 Y209 Y206 Y197:Y198 Y194:Y195">
    <cfRule type="expression" dxfId="19" priority="17" stopIfTrue="1">
      <formula>$AA194="Complete"</formula>
    </cfRule>
    <cfRule type="expression" dxfId="18" priority="18" stopIfTrue="1">
      <formula>$AA194="On Hold"</formula>
    </cfRule>
    <cfRule type="expression" dxfId="17" priority="19" stopIfTrue="1">
      <formula>AND($T194&lt;&gt;"",$T194&lt;=TODAY())</formula>
    </cfRule>
    <cfRule type="expression" dxfId="16" priority="20" stopIfTrue="1">
      <formula>AND($Z194&lt;&gt;"",$Z194&lt;=TODAY())</formula>
    </cfRule>
  </conditionalFormatting>
  <conditionalFormatting sqref="Z216">
    <cfRule type="expression" dxfId="15" priority="13" stopIfTrue="1">
      <formula>$AA216="Complete"</formula>
    </cfRule>
    <cfRule type="expression" dxfId="14" priority="14" stopIfTrue="1">
      <formula>$AA216="On Hold"</formula>
    </cfRule>
    <cfRule type="expression" dxfId="13" priority="15" stopIfTrue="1">
      <formula>AND($T216&lt;&gt;"",$T216&lt;=TODAY())</formula>
    </cfRule>
    <cfRule type="expression" dxfId="12" priority="16" stopIfTrue="1">
      <formula>AND($Z216&lt;&gt;"",$Z216&lt;=TODAY())</formula>
    </cfRule>
  </conditionalFormatting>
  <conditionalFormatting sqref="Z219">
    <cfRule type="expression" dxfId="11" priority="9" stopIfTrue="1">
      <formula>$AA219="Complete"</formula>
    </cfRule>
    <cfRule type="expression" dxfId="10" priority="10" stopIfTrue="1">
      <formula>$AA219="On Hold"</formula>
    </cfRule>
    <cfRule type="expression" dxfId="9" priority="11" stopIfTrue="1">
      <formula>AND($T219&lt;&gt;"",$T219&lt;=TODAY())</formula>
    </cfRule>
    <cfRule type="expression" dxfId="8" priority="12" stopIfTrue="1">
      <formula>AND($Z219&lt;&gt;"",$Z219&lt;=TODAY())</formula>
    </cfRule>
  </conditionalFormatting>
  <conditionalFormatting sqref="Z223">
    <cfRule type="expression" dxfId="7" priority="5" stopIfTrue="1">
      <formula>$AA223="Complete"</formula>
    </cfRule>
    <cfRule type="expression" dxfId="6" priority="6" stopIfTrue="1">
      <formula>$AA223="On Hold"</formula>
    </cfRule>
    <cfRule type="expression" dxfId="5" priority="7" stopIfTrue="1">
      <formula>AND($T223&lt;&gt;"",$T223&lt;=TODAY())</formula>
    </cfRule>
    <cfRule type="expression" dxfId="4" priority="8" stopIfTrue="1">
      <formula>AND($Z223&lt;&gt;"",$Z223&lt;=TODAY())</formula>
    </cfRule>
  </conditionalFormatting>
  <conditionalFormatting sqref="Z231">
    <cfRule type="expression" dxfId="3" priority="1" stopIfTrue="1">
      <formula>$AA231="Complete"</formula>
    </cfRule>
    <cfRule type="expression" dxfId="2" priority="2" stopIfTrue="1">
      <formula>$AA231="On Hold"</formula>
    </cfRule>
    <cfRule type="expression" dxfId="1" priority="3" stopIfTrue="1">
      <formula>AND($T231&lt;&gt;"",$T231&lt;=TODAY())</formula>
    </cfRule>
    <cfRule type="expression" dxfId="0" priority="4" stopIfTrue="1">
      <formula>AND($Z231&lt;&gt;"",$Z231&lt;=TODAY())</formula>
    </cfRule>
  </conditionalFormatting>
  <dataValidations count="12">
    <dataValidation type="list" allowBlank="1" showInputMessage="1" showErrorMessage="1" sqref="I2:I69 I143:I147 I149:I175 I195:I197 I199:I204 I206 I178:I191 I74:I109 I229:I1048576" xr:uid="{84C24F46-F949-450C-A69D-E77D803AAE99}">
      <formula1>P_MANDATE</formula1>
    </dataValidation>
    <dataValidation type="list" allowBlank="1" showInputMessage="1" showErrorMessage="1" sqref="K2:K69 K143:K147 K118:K119 K178:K183 K149:K175 K195:K204 K206 K186:K191 K74:K109 K229:K235 K237:K1048576" xr:uid="{2472C845-F49C-4E8E-A9D5-43721E8DEDED}">
      <formula1>TYPE</formula1>
    </dataValidation>
    <dataValidation type="list" allowBlank="1" showInputMessage="1" showErrorMessage="1" sqref="N2:O69 N142:O147 N178:O183 O188 N149:O175 N195:O197 N199:O204 N206:O206 N189:O191 N74:O109 N229:O235 N237:O1048576" xr:uid="{90CF0359-4A24-4E80-9170-DAD8B913EC8F}">
      <formula1>YESNO</formula1>
    </dataValidation>
    <dataValidation type="list" allowBlank="1" showInputMessage="1" showErrorMessage="1" sqref="P2:P69 P142:P147 P178:P183 P149:P175 P195:P197 P199:P204 P206 P185:P191 P74:P109 P229:P235 P237:P1048576" xr:uid="{A5386624-B1CA-4616-A3CA-78326237F023}">
      <formula1>PRIORITY</formula1>
    </dataValidation>
    <dataValidation type="list" allowBlank="1" showInputMessage="1" showErrorMessage="1" sqref="P70:P73 P148 P160 P176:P177 P110:P141 P198 P205 P192:P194 P207:P228 P236" xr:uid="{8C3CA4A1-13CC-4A96-8F8B-5C1DEED445EF}">
      <formula1>bus_priority</formula1>
    </dataValidation>
    <dataValidation type="list" allowBlank="1" showInputMessage="1" showErrorMessage="1" sqref="I70:I73 I148 I160 I176:I177 I110:I142 I198 I205 I192:I194 I207:I228" xr:uid="{3EF7F2F4-2227-4A00-A1F4-5E9E17A574A9}">
      <formula1>mandate</formula1>
    </dataValidation>
    <dataValidation type="list" allowBlank="1" showInputMessage="1" showErrorMessage="1" sqref="L117 L120 L122 L139:L147 L125:L137 L149:L183 L221 L195:L204 L206 L185:L191 L2:L115 L224 L229:L1048576" xr:uid="{FEBB200A-E22F-44D4-A545-36A9F78B1D01}">
      <formula1>STATEGIC_PRIORITY</formula1>
    </dataValidation>
    <dataValidation type="list" allowBlank="1" showInputMessage="1" showErrorMessage="1" sqref="J2:J183 J185:J1048576" xr:uid="{C48EA2EE-7F8D-42E9-9CBD-CB4B28B30C2A}">
      <formula1>CATEGORY</formula1>
    </dataValidation>
    <dataValidation type="list" allowBlank="1" showInputMessage="1" showErrorMessage="1" sqref="Q2:Q183 Q185:Q1048576" xr:uid="{4FA79487-7C08-481B-A2A5-88EF81948278}">
      <formula1>EFFORT</formula1>
    </dataValidation>
    <dataValidation type="list" allowBlank="1" showInputMessage="1" showErrorMessage="1" sqref="V1:V183 V185:V1048576" xr:uid="{5F2024F7-21CA-4EA4-9DB0-113A1676768F}">
      <formula1>DEADLINE_TYPE</formula1>
    </dataValidation>
    <dataValidation type="list" allowBlank="1" showInputMessage="1" showErrorMessage="1" sqref="AA2:AA1048576" xr:uid="{B565E7F7-0A7A-4222-B705-1044442A9E4D}">
      <formula1>STATUS</formula1>
    </dataValidation>
    <dataValidation type="list" allowBlank="1" showInputMessage="1" showErrorMessage="1" sqref="AB2:AB1048576" xr:uid="{FD5C4394-1663-4D59-A008-0387E49A6ADB}">
      <formula1>STATUS_DETAIL</formula1>
    </dataValidation>
  </dataValidations>
  <hyperlinks>
    <hyperlink ref="E134" r:id="rId1" xr:uid="{4620414F-EB82-41C5-8E7A-AED97AD83939}"/>
    <hyperlink ref="E196" r:id="rId2" xr:uid="{64CEB8A9-4023-465E-9D2F-B31C891186A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AD3CB-1423-49DF-A36F-97B89B2F4B85}">
  <sheetPr codeName="Sheet3">
    <tabColor theme="7" tint="0.79998168889431442"/>
  </sheetPr>
  <dimension ref="A1:BV41"/>
  <sheetViews>
    <sheetView zoomScale="80" zoomScaleNormal="80" workbookViewId="0">
      <pane xSplit="3" ySplit="1" topLeftCell="L8" activePane="bottomRight" state="frozen"/>
      <selection pane="topRight" activeCell="D1" sqref="D1"/>
      <selection pane="bottomLeft" activeCell="A2" sqref="A2"/>
      <selection pane="bottomRight" activeCell="A16" sqref="A16:XFD16"/>
    </sheetView>
  </sheetViews>
  <sheetFormatPr defaultColWidth="9.140625" defaultRowHeight="15" x14ac:dyDescent="0.25"/>
  <cols>
    <col min="1" max="1" width="9.140625" style="123" customWidth="1"/>
    <col min="2" max="2" width="32.5703125" style="119" customWidth="1"/>
    <col min="3" max="3" width="29.140625" style="119" customWidth="1"/>
    <col min="4" max="4" width="36.140625" style="119" customWidth="1"/>
    <col min="5" max="5" width="45.5703125" style="119" customWidth="1"/>
    <col min="6" max="6" width="27.28515625" style="119" customWidth="1"/>
    <col min="7" max="7" width="9.140625" style="119"/>
    <col min="8" max="8" width="9.140625" style="119" customWidth="1"/>
    <col min="9" max="10" width="29.28515625" style="119" customWidth="1"/>
    <col min="11" max="11" width="6.7109375" style="119" customWidth="1"/>
    <col min="12" max="13" width="29.28515625" style="119" customWidth="1"/>
    <col min="14" max="14" width="5.28515625" style="119" customWidth="1"/>
    <col min="15" max="15" width="6.7109375" style="119" customWidth="1"/>
    <col min="16" max="16" width="16" style="119" bestFit="1" customWidth="1"/>
    <col min="17" max="17" width="16" style="119" customWidth="1"/>
    <col min="18" max="22" width="18.42578125" style="119" customWidth="1"/>
    <col min="23" max="23" width="4.5703125" style="123" bestFit="1" customWidth="1"/>
    <col min="24" max="74" width="3.7109375" style="123" bestFit="1" customWidth="1"/>
    <col min="75" max="16384" width="9.140625" style="123"/>
  </cols>
  <sheetData>
    <row r="1" spans="1:74" ht="77.25" customHeight="1" x14ac:dyDescent="0.25">
      <c r="A1" s="112" t="s">
        <v>0</v>
      </c>
      <c r="B1" s="129" t="s">
        <v>1</v>
      </c>
      <c r="C1" s="112" t="s">
        <v>2</v>
      </c>
      <c r="D1" s="130" t="s">
        <v>3</v>
      </c>
      <c r="E1" s="130" t="s">
        <v>4</v>
      </c>
      <c r="F1" s="130" t="s">
        <v>5</v>
      </c>
      <c r="G1" s="131" t="s">
        <v>1341</v>
      </c>
      <c r="H1" s="112" t="s">
        <v>7</v>
      </c>
      <c r="I1" s="130" t="s">
        <v>1342</v>
      </c>
      <c r="J1" s="130" t="s">
        <v>9</v>
      </c>
      <c r="K1" s="130" t="s">
        <v>10</v>
      </c>
      <c r="L1" s="112" t="s">
        <v>11</v>
      </c>
      <c r="M1" s="112" t="s">
        <v>1343</v>
      </c>
      <c r="N1" s="130" t="s">
        <v>13</v>
      </c>
      <c r="O1" s="130" t="s">
        <v>14</v>
      </c>
      <c r="P1" s="130" t="s">
        <v>15</v>
      </c>
      <c r="Q1" s="132" t="s">
        <v>16</v>
      </c>
      <c r="R1" s="132" t="s">
        <v>1344</v>
      </c>
      <c r="S1" s="132"/>
      <c r="T1" s="132" t="s">
        <v>19</v>
      </c>
      <c r="U1" s="132" t="s">
        <v>20</v>
      </c>
      <c r="V1" s="132" t="s">
        <v>21</v>
      </c>
      <c r="W1" s="126">
        <v>1</v>
      </c>
      <c r="X1" s="126">
        <f>W1+7</f>
        <v>8</v>
      </c>
      <c r="Y1" s="126">
        <f t="shared" ref="Y1:BV1" si="0">X1+7</f>
        <v>15</v>
      </c>
      <c r="Z1" s="126">
        <f t="shared" si="0"/>
        <v>22</v>
      </c>
      <c r="AA1" s="126">
        <f t="shared" si="0"/>
        <v>29</v>
      </c>
      <c r="AB1" s="126">
        <f t="shared" si="0"/>
        <v>36</v>
      </c>
      <c r="AC1" s="126">
        <f t="shared" si="0"/>
        <v>43</v>
      </c>
      <c r="AD1" s="126">
        <f t="shared" si="0"/>
        <v>50</v>
      </c>
      <c r="AE1" s="126">
        <f t="shared" si="0"/>
        <v>57</v>
      </c>
      <c r="AF1" s="126">
        <f t="shared" si="0"/>
        <v>64</v>
      </c>
      <c r="AG1" s="126">
        <f t="shared" si="0"/>
        <v>71</v>
      </c>
      <c r="AH1" s="126">
        <f t="shared" si="0"/>
        <v>78</v>
      </c>
      <c r="AI1" s="126">
        <f t="shared" si="0"/>
        <v>85</v>
      </c>
      <c r="AJ1" s="126">
        <f t="shared" si="0"/>
        <v>92</v>
      </c>
      <c r="AK1" s="126">
        <f t="shared" si="0"/>
        <v>99</v>
      </c>
      <c r="AL1" s="126">
        <f t="shared" si="0"/>
        <v>106</v>
      </c>
      <c r="AM1" s="126">
        <f t="shared" si="0"/>
        <v>113</v>
      </c>
      <c r="AN1" s="126">
        <f t="shared" si="0"/>
        <v>120</v>
      </c>
      <c r="AO1" s="126">
        <f>AN1+7</f>
        <v>127</v>
      </c>
      <c r="AP1" s="126">
        <f t="shared" si="0"/>
        <v>134</v>
      </c>
      <c r="AQ1" s="126">
        <f t="shared" si="0"/>
        <v>141</v>
      </c>
      <c r="AR1" s="126">
        <f t="shared" si="0"/>
        <v>148</v>
      </c>
      <c r="AS1" s="126">
        <f t="shared" si="0"/>
        <v>155</v>
      </c>
      <c r="AT1" s="126">
        <f t="shared" si="0"/>
        <v>162</v>
      </c>
      <c r="AU1" s="126">
        <f t="shared" si="0"/>
        <v>169</v>
      </c>
      <c r="AV1" s="126">
        <f t="shared" si="0"/>
        <v>176</v>
      </c>
      <c r="AW1" s="126">
        <f t="shared" si="0"/>
        <v>183</v>
      </c>
      <c r="AX1" s="126">
        <f t="shared" si="0"/>
        <v>190</v>
      </c>
      <c r="AY1" s="126">
        <f t="shared" si="0"/>
        <v>197</v>
      </c>
      <c r="AZ1" s="126">
        <f t="shared" si="0"/>
        <v>204</v>
      </c>
      <c r="BA1" s="126">
        <f t="shared" si="0"/>
        <v>211</v>
      </c>
      <c r="BB1" s="126">
        <f t="shared" si="0"/>
        <v>218</v>
      </c>
      <c r="BC1" s="126">
        <f t="shared" si="0"/>
        <v>225</v>
      </c>
      <c r="BD1" s="126">
        <f t="shared" si="0"/>
        <v>232</v>
      </c>
      <c r="BE1" s="126">
        <f t="shared" si="0"/>
        <v>239</v>
      </c>
      <c r="BF1" s="126">
        <f t="shared" si="0"/>
        <v>246</v>
      </c>
      <c r="BG1" s="126">
        <f t="shared" si="0"/>
        <v>253</v>
      </c>
      <c r="BH1" s="126">
        <f t="shared" si="0"/>
        <v>260</v>
      </c>
      <c r="BI1" s="126">
        <f t="shared" si="0"/>
        <v>267</v>
      </c>
      <c r="BJ1" s="126">
        <f t="shared" si="0"/>
        <v>274</v>
      </c>
      <c r="BK1" s="126">
        <f t="shared" si="0"/>
        <v>281</v>
      </c>
      <c r="BL1" s="126">
        <f t="shared" si="0"/>
        <v>288</v>
      </c>
      <c r="BM1" s="126">
        <f t="shared" si="0"/>
        <v>295</v>
      </c>
      <c r="BN1" s="126">
        <f t="shared" si="0"/>
        <v>302</v>
      </c>
      <c r="BO1" s="126">
        <f t="shared" si="0"/>
        <v>309</v>
      </c>
      <c r="BP1" s="126">
        <f t="shared" si="0"/>
        <v>316</v>
      </c>
      <c r="BQ1" s="126">
        <f t="shared" si="0"/>
        <v>323</v>
      </c>
      <c r="BR1" s="126">
        <f t="shared" si="0"/>
        <v>330</v>
      </c>
      <c r="BS1" s="126">
        <f t="shared" si="0"/>
        <v>337</v>
      </c>
      <c r="BT1" s="126">
        <f t="shared" si="0"/>
        <v>344</v>
      </c>
      <c r="BU1" s="126">
        <f t="shared" si="0"/>
        <v>351</v>
      </c>
      <c r="BV1" s="126">
        <f t="shared" si="0"/>
        <v>358</v>
      </c>
    </row>
    <row r="2" spans="1:74" ht="45" x14ac:dyDescent="0.25">
      <c r="A2" s="123" t="s">
        <v>1345</v>
      </c>
      <c r="B2" s="119" t="s">
        <v>1167</v>
      </c>
      <c r="D2" s="119" t="s">
        <v>739</v>
      </c>
      <c r="E2" s="119" t="s">
        <v>740</v>
      </c>
      <c r="F2" s="119" t="s">
        <v>741</v>
      </c>
      <c r="G2" s="119" t="s">
        <v>828</v>
      </c>
      <c r="I2" s="119" t="s">
        <v>35</v>
      </c>
      <c r="J2" s="119" t="s">
        <v>55</v>
      </c>
      <c r="K2" s="119" t="s">
        <v>56</v>
      </c>
      <c r="N2" s="119" t="s">
        <v>39</v>
      </c>
      <c r="O2" s="119" t="s">
        <v>40</v>
      </c>
      <c r="P2" s="119" t="s">
        <v>105</v>
      </c>
      <c r="Q2" s="119" t="s">
        <v>57</v>
      </c>
      <c r="R2" s="119" t="s">
        <v>1346</v>
      </c>
      <c r="V2" s="119" t="s">
        <v>43</v>
      </c>
      <c r="AB2" s="123">
        <v>1</v>
      </c>
      <c r="AC2" s="123">
        <v>1</v>
      </c>
      <c r="AD2" s="123">
        <v>1</v>
      </c>
      <c r="AE2" s="123">
        <v>1</v>
      </c>
      <c r="AF2" s="123">
        <v>1</v>
      </c>
      <c r="AG2" s="123">
        <v>1</v>
      </c>
      <c r="AH2" s="123">
        <v>1</v>
      </c>
    </row>
    <row r="3" spans="1:74" ht="90" x14ac:dyDescent="0.25">
      <c r="A3" s="123" t="s">
        <v>545</v>
      </c>
      <c r="B3" s="119" t="s">
        <v>546</v>
      </c>
      <c r="D3" s="119" t="s">
        <v>547</v>
      </c>
      <c r="E3" s="119" t="s">
        <v>548</v>
      </c>
      <c r="F3" s="119" t="s">
        <v>549</v>
      </c>
      <c r="G3" s="119" t="s">
        <v>1165</v>
      </c>
      <c r="I3" s="119" t="s">
        <v>551</v>
      </c>
      <c r="J3" s="119" t="s">
        <v>55</v>
      </c>
      <c r="K3" s="119" t="s">
        <v>56</v>
      </c>
      <c r="N3" s="119" t="s">
        <v>39</v>
      </c>
      <c r="O3" s="119" t="s">
        <v>40</v>
      </c>
      <c r="P3" s="119" t="s">
        <v>105</v>
      </c>
      <c r="Q3" s="119" t="s">
        <v>57</v>
      </c>
      <c r="R3" s="119" t="s">
        <v>1347</v>
      </c>
      <c r="V3" s="119" t="s">
        <v>43</v>
      </c>
      <c r="AW3" s="123">
        <v>1</v>
      </c>
      <c r="AX3" s="123">
        <v>1</v>
      </c>
      <c r="AY3" s="123">
        <v>1</v>
      </c>
      <c r="AZ3" s="123">
        <v>1</v>
      </c>
      <c r="BA3" s="123">
        <v>1</v>
      </c>
      <c r="BB3" s="123">
        <v>1</v>
      </c>
      <c r="BC3" s="123">
        <v>1</v>
      </c>
      <c r="BD3" s="123">
        <v>1</v>
      </c>
      <c r="BE3" s="123">
        <v>1</v>
      </c>
      <c r="BF3" s="123">
        <v>1</v>
      </c>
      <c r="BG3" s="123">
        <v>1</v>
      </c>
      <c r="BH3" s="123">
        <v>1</v>
      </c>
      <c r="BI3" s="123">
        <v>1</v>
      </c>
      <c r="BJ3" s="123">
        <v>1</v>
      </c>
    </row>
    <row r="4" spans="1:74" ht="30" x14ac:dyDescent="0.25">
      <c r="A4" s="123" t="s">
        <v>554</v>
      </c>
      <c r="B4" s="119" t="s">
        <v>555</v>
      </c>
      <c r="D4" s="119" t="s">
        <v>556</v>
      </c>
      <c r="F4" s="119" t="s">
        <v>557</v>
      </c>
      <c r="G4" s="119" t="s">
        <v>828</v>
      </c>
      <c r="I4" s="119" t="s">
        <v>551</v>
      </c>
      <c r="J4" s="119" t="s">
        <v>55</v>
      </c>
      <c r="K4" s="119" t="s">
        <v>56</v>
      </c>
      <c r="N4" s="119" t="s">
        <v>39</v>
      </c>
      <c r="P4" s="119" t="s">
        <v>57</v>
      </c>
      <c r="Q4" s="119" t="s">
        <v>301</v>
      </c>
      <c r="R4" s="119" t="s">
        <v>1348</v>
      </c>
      <c r="V4" s="119" t="s">
        <v>84</v>
      </c>
      <c r="BU4" s="123">
        <v>1</v>
      </c>
    </row>
    <row r="5" spans="1:74" ht="60" x14ac:dyDescent="0.25">
      <c r="A5" s="123" t="s">
        <v>560</v>
      </c>
      <c r="B5" s="119" t="s">
        <v>1153</v>
      </c>
      <c r="D5" s="119" t="s">
        <v>753</v>
      </c>
      <c r="F5" s="119" t="s">
        <v>240</v>
      </c>
      <c r="G5" s="119" t="s">
        <v>102</v>
      </c>
      <c r="I5" s="119" t="s">
        <v>551</v>
      </c>
      <c r="J5" s="119" t="s">
        <v>55</v>
      </c>
      <c r="K5" s="119" t="s">
        <v>56</v>
      </c>
      <c r="N5" s="119" t="s">
        <v>39</v>
      </c>
      <c r="O5" s="119" t="s">
        <v>40</v>
      </c>
      <c r="P5" s="119" t="s">
        <v>41</v>
      </c>
      <c r="Q5" s="119" t="s">
        <v>57</v>
      </c>
      <c r="R5" s="119" t="s">
        <v>1349</v>
      </c>
      <c r="V5" s="119" t="s">
        <v>59</v>
      </c>
      <c r="W5" s="123">
        <v>1</v>
      </c>
      <c r="X5" s="123">
        <v>1</v>
      </c>
      <c r="Y5" s="123">
        <v>1</v>
      </c>
      <c r="Z5" s="123">
        <v>1</v>
      </c>
      <c r="AA5" s="123">
        <v>1</v>
      </c>
      <c r="BB5" s="123">
        <v>1</v>
      </c>
      <c r="BC5" s="123">
        <v>1</v>
      </c>
      <c r="BD5" s="123">
        <v>1</v>
      </c>
      <c r="BE5" s="123">
        <v>1</v>
      </c>
    </row>
    <row r="6" spans="1:74" ht="30" x14ac:dyDescent="0.25">
      <c r="A6" s="123" t="s">
        <v>1149</v>
      </c>
      <c r="B6" s="119" t="s">
        <v>1150</v>
      </c>
      <c r="D6" s="119" t="s">
        <v>100</v>
      </c>
      <c r="F6" s="119" t="s">
        <v>101</v>
      </c>
      <c r="G6" s="119" t="s">
        <v>102</v>
      </c>
      <c r="I6" s="119" t="s">
        <v>103</v>
      </c>
      <c r="J6" s="119" t="s">
        <v>55</v>
      </c>
      <c r="K6" s="119" t="s">
        <v>56</v>
      </c>
      <c r="N6" s="119" t="s">
        <v>39</v>
      </c>
      <c r="O6" s="119" t="s">
        <v>40</v>
      </c>
      <c r="P6" s="119" t="s">
        <v>105</v>
      </c>
      <c r="Q6" s="119" t="s">
        <v>57</v>
      </c>
      <c r="R6" s="119" t="s">
        <v>1350</v>
      </c>
      <c r="V6" s="119" t="s">
        <v>43</v>
      </c>
      <c r="AJ6" s="123">
        <v>1</v>
      </c>
      <c r="AK6" s="123">
        <v>1</v>
      </c>
      <c r="AL6" s="123">
        <v>1</v>
      </c>
      <c r="AM6" s="123">
        <v>1</v>
      </c>
      <c r="AN6" s="123">
        <v>1</v>
      </c>
    </row>
    <row r="7" spans="1:74" ht="30" x14ac:dyDescent="0.25">
      <c r="A7" s="123" t="s">
        <v>1146</v>
      </c>
      <c r="B7" s="119" t="s">
        <v>100</v>
      </c>
      <c r="D7" s="119" t="s">
        <v>100</v>
      </c>
      <c r="F7" s="119" t="s">
        <v>101</v>
      </c>
      <c r="G7" s="119" t="s">
        <v>102</v>
      </c>
      <c r="I7" s="119" t="s">
        <v>103</v>
      </c>
      <c r="J7" s="119" t="s">
        <v>55</v>
      </c>
      <c r="K7" s="119" t="s">
        <v>56</v>
      </c>
      <c r="N7" s="119" t="s">
        <v>39</v>
      </c>
      <c r="O7" s="119" t="s">
        <v>40</v>
      </c>
      <c r="P7" s="119" t="s">
        <v>105</v>
      </c>
      <c r="Q7" s="119" t="s">
        <v>57</v>
      </c>
      <c r="R7" s="119" t="s">
        <v>1351</v>
      </c>
      <c r="V7" s="119" t="s">
        <v>43</v>
      </c>
      <c r="AO7" s="123">
        <v>1</v>
      </c>
      <c r="AP7" s="123">
        <v>1</v>
      </c>
      <c r="AQ7" s="123">
        <v>1</v>
      </c>
      <c r="AR7" s="123">
        <v>1</v>
      </c>
      <c r="AS7" s="123">
        <v>1</v>
      </c>
      <c r="AT7" s="123">
        <v>1</v>
      </c>
      <c r="AU7" s="123">
        <v>1</v>
      </c>
      <c r="AV7" s="123">
        <v>1</v>
      </c>
    </row>
    <row r="8" spans="1:74" ht="30" x14ac:dyDescent="0.25">
      <c r="A8" s="123" t="s">
        <v>1141</v>
      </c>
      <c r="B8" s="119" t="s">
        <v>1142</v>
      </c>
      <c r="D8" s="119" t="s">
        <v>840</v>
      </c>
      <c r="F8" s="119" t="s">
        <v>101</v>
      </c>
      <c r="G8" s="119" t="s">
        <v>1143</v>
      </c>
      <c r="I8" s="119" t="s">
        <v>103</v>
      </c>
      <c r="J8" s="119" t="s">
        <v>55</v>
      </c>
      <c r="K8" s="119" t="s">
        <v>56</v>
      </c>
      <c r="N8" s="119" t="s">
        <v>39</v>
      </c>
      <c r="O8" s="119" t="s">
        <v>40</v>
      </c>
      <c r="P8" s="119" t="s">
        <v>105</v>
      </c>
      <c r="Q8" s="119" t="s">
        <v>57</v>
      </c>
      <c r="R8" s="133" t="s">
        <v>1352</v>
      </c>
      <c r="V8" s="119" t="s">
        <v>43</v>
      </c>
      <c r="X8" s="123">
        <v>1</v>
      </c>
      <c r="Y8" s="123">
        <v>1</v>
      </c>
      <c r="Z8" s="123">
        <v>1</v>
      </c>
      <c r="AA8" s="123">
        <v>1</v>
      </c>
      <c r="AB8" s="123">
        <v>1</v>
      </c>
      <c r="AC8" s="123">
        <v>1</v>
      </c>
      <c r="AD8" s="123">
        <v>1</v>
      </c>
      <c r="AE8" s="123">
        <v>1</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123">
        <v>1</v>
      </c>
      <c r="AZ8" s="123">
        <v>1</v>
      </c>
      <c r="BA8" s="123">
        <v>1</v>
      </c>
      <c r="BB8" s="123">
        <v>1</v>
      </c>
      <c r="BC8" s="123">
        <v>1</v>
      </c>
      <c r="BD8" s="123">
        <v>1</v>
      </c>
      <c r="BE8" s="123">
        <v>1</v>
      </c>
      <c r="BF8" s="123">
        <v>1</v>
      </c>
      <c r="BG8" s="123">
        <v>1</v>
      </c>
      <c r="BH8" s="123">
        <v>1</v>
      </c>
      <c r="BI8" s="123">
        <v>1</v>
      </c>
      <c r="BJ8" s="123">
        <v>1</v>
      </c>
      <c r="BK8" s="123">
        <v>1</v>
      </c>
      <c r="BL8" s="123">
        <v>1</v>
      </c>
      <c r="BM8" s="123">
        <v>1</v>
      </c>
      <c r="BN8" s="123">
        <v>1</v>
      </c>
      <c r="BO8" s="123">
        <v>1</v>
      </c>
      <c r="BP8" s="123">
        <v>1</v>
      </c>
      <c r="BQ8" s="123">
        <v>1</v>
      </c>
      <c r="BR8" s="123">
        <v>1</v>
      </c>
    </row>
    <row r="9" spans="1:74" ht="30" x14ac:dyDescent="0.25">
      <c r="A9" s="123" t="s">
        <v>1353</v>
      </c>
      <c r="B9" s="119" t="s">
        <v>565</v>
      </c>
      <c r="D9" s="119" t="s">
        <v>565</v>
      </c>
      <c r="F9" s="119" t="s">
        <v>101</v>
      </c>
      <c r="G9" s="119" t="s">
        <v>143</v>
      </c>
      <c r="I9" s="119" t="s">
        <v>103</v>
      </c>
      <c r="J9" s="119" t="s">
        <v>55</v>
      </c>
      <c r="K9" s="119" t="s">
        <v>56</v>
      </c>
      <c r="N9" s="119" t="s">
        <v>39</v>
      </c>
      <c r="O9" s="119" t="s">
        <v>40</v>
      </c>
      <c r="P9" s="119" t="s">
        <v>105</v>
      </c>
      <c r="Q9" s="119" t="s">
        <v>344</v>
      </c>
      <c r="R9" s="133" t="s">
        <v>1354</v>
      </c>
      <c r="S9" s="134"/>
      <c r="T9" s="134"/>
      <c r="U9" s="134"/>
      <c r="V9" s="134" t="s">
        <v>43</v>
      </c>
      <c r="AW9" s="123">
        <v>1</v>
      </c>
      <c r="AX9" s="123">
        <v>1</v>
      </c>
      <c r="AY9" s="123">
        <v>1</v>
      </c>
      <c r="AZ9" s="123">
        <v>1</v>
      </c>
      <c r="BA9" s="123">
        <v>1</v>
      </c>
      <c r="BB9" s="123">
        <v>1</v>
      </c>
      <c r="BC9" s="123">
        <v>1</v>
      </c>
      <c r="BD9" s="123">
        <v>1</v>
      </c>
      <c r="BE9" s="123">
        <v>1</v>
      </c>
      <c r="BF9" s="123">
        <v>1</v>
      </c>
      <c r="BG9" s="123">
        <v>1</v>
      </c>
      <c r="BH9" s="123">
        <v>1</v>
      </c>
      <c r="BI9" s="123">
        <v>1</v>
      </c>
      <c r="BJ9" s="123">
        <v>1</v>
      </c>
      <c r="BK9" s="123">
        <v>1</v>
      </c>
      <c r="BL9" s="123">
        <v>1</v>
      </c>
      <c r="BM9" s="123">
        <v>1</v>
      </c>
      <c r="BN9" s="123">
        <v>1</v>
      </c>
      <c r="BO9" s="123">
        <v>1</v>
      </c>
      <c r="BP9" s="123">
        <v>1</v>
      </c>
      <c r="BQ9" s="123">
        <v>1</v>
      </c>
      <c r="BR9" s="123">
        <v>1</v>
      </c>
    </row>
    <row r="10" spans="1:74" ht="75" x14ac:dyDescent="0.25">
      <c r="A10" s="123" t="s">
        <v>1355</v>
      </c>
      <c r="B10" s="135" t="s">
        <v>1135</v>
      </c>
      <c r="C10" s="136"/>
      <c r="D10" s="135" t="s">
        <v>853</v>
      </c>
      <c r="E10" s="119" t="s">
        <v>854</v>
      </c>
      <c r="F10" s="137" t="s">
        <v>583</v>
      </c>
      <c r="G10" s="119" t="s">
        <v>143</v>
      </c>
      <c r="I10" s="119" t="s">
        <v>103</v>
      </c>
      <c r="J10" s="119" t="s">
        <v>55</v>
      </c>
      <c r="K10" s="119" t="s">
        <v>56</v>
      </c>
      <c r="N10" s="119" t="s">
        <v>39</v>
      </c>
      <c r="O10" s="119" t="s">
        <v>40</v>
      </c>
      <c r="P10" s="119" t="s">
        <v>105</v>
      </c>
      <c r="Q10" s="119" t="s">
        <v>42</v>
      </c>
      <c r="R10" s="133" t="s">
        <v>1136</v>
      </c>
      <c r="S10" s="134"/>
      <c r="T10" s="134"/>
      <c r="U10" s="134"/>
      <c r="V10" s="134" t="s">
        <v>43</v>
      </c>
      <c r="AI10" s="123">
        <v>1</v>
      </c>
      <c r="AO10" s="123">
        <v>1</v>
      </c>
      <c r="AP10" s="123">
        <v>1</v>
      </c>
      <c r="AQ10" s="123">
        <v>1</v>
      </c>
      <c r="AR10" s="123">
        <v>1</v>
      </c>
      <c r="AS10" s="123">
        <v>1</v>
      </c>
      <c r="AT10" s="123">
        <v>1</v>
      </c>
      <c r="AU10" s="123">
        <v>1</v>
      </c>
      <c r="AV10" s="123">
        <v>1</v>
      </c>
      <c r="AW10" s="123">
        <v>1</v>
      </c>
      <c r="AX10" s="123">
        <v>1</v>
      </c>
      <c r="AY10" s="123">
        <v>1</v>
      </c>
    </row>
    <row r="11" spans="1:74" ht="45" x14ac:dyDescent="0.25">
      <c r="A11" s="123" t="s">
        <v>568</v>
      </c>
      <c r="B11" s="135" t="s">
        <v>569</v>
      </c>
      <c r="C11" s="136"/>
      <c r="D11" s="135" t="s">
        <v>569</v>
      </c>
      <c r="E11" s="138" t="s">
        <v>859</v>
      </c>
      <c r="F11" s="139" t="s">
        <v>570</v>
      </c>
      <c r="G11" s="119" t="s">
        <v>143</v>
      </c>
      <c r="I11" s="119" t="s">
        <v>103</v>
      </c>
      <c r="J11" s="119" t="s">
        <v>55</v>
      </c>
      <c r="K11" s="119" t="s">
        <v>56</v>
      </c>
      <c r="N11" s="119" t="s">
        <v>39</v>
      </c>
      <c r="O11" s="119" t="s">
        <v>40</v>
      </c>
      <c r="P11" s="119" t="s">
        <v>105</v>
      </c>
      <c r="Q11" s="119" t="s">
        <v>42</v>
      </c>
      <c r="R11" s="133" t="s">
        <v>1356</v>
      </c>
      <c r="S11" s="134"/>
      <c r="T11" s="134"/>
      <c r="U11" s="134"/>
      <c r="V11" s="134" t="s">
        <v>43</v>
      </c>
      <c r="AM11" s="123">
        <v>1</v>
      </c>
      <c r="AN11" s="123">
        <v>1</v>
      </c>
      <c r="AO11" s="123">
        <v>1</v>
      </c>
      <c r="AP11" s="123">
        <v>1</v>
      </c>
      <c r="AQ11" s="123">
        <v>1</v>
      </c>
      <c r="AR11" s="123">
        <v>1</v>
      </c>
      <c r="AS11" s="123">
        <v>1</v>
      </c>
      <c r="BB11" s="123">
        <v>1</v>
      </c>
      <c r="BC11" s="123">
        <v>1</v>
      </c>
      <c r="BD11" s="123">
        <v>1</v>
      </c>
      <c r="BE11" s="123">
        <v>1</v>
      </c>
      <c r="BF11" s="123">
        <v>1</v>
      </c>
      <c r="BG11" s="123">
        <v>1</v>
      </c>
      <c r="BH11" s="123">
        <v>1</v>
      </c>
      <c r="BI11" s="123">
        <v>1</v>
      </c>
      <c r="BJ11" s="123">
        <v>1</v>
      </c>
      <c r="BK11" s="123">
        <v>1</v>
      </c>
      <c r="BL11" s="123">
        <v>1</v>
      </c>
      <c r="BM11" s="123">
        <v>1</v>
      </c>
      <c r="BN11" s="123">
        <v>1</v>
      </c>
    </row>
    <row r="12" spans="1:74" ht="30" x14ac:dyDescent="0.25">
      <c r="A12" s="123" t="s">
        <v>1357</v>
      </c>
      <c r="B12" s="119" t="s">
        <v>864</v>
      </c>
      <c r="D12" s="119" t="s">
        <v>1358</v>
      </c>
      <c r="F12" s="119" t="s">
        <v>190</v>
      </c>
      <c r="G12" s="119" t="s">
        <v>143</v>
      </c>
      <c r="I12" s="119" t="s">
        <v>54</v>
      </c>
      <c r="J12" s="119" t="s">
        <v>55</v>
      </c>
      <c r="K12" s="119" t="s">
        <v>56</v>
      </c>
      <c r="N12" s="119" t="s">
        <v>39</v>
      </c>
      <c r="P12" s="119" t="s">
        <v>57</v>
      </c>
      <c r="Q12" s="119" t="s">
        <v>58</v>
      </c>
      <c r="R12" s="119" t="s">
        <v>1359</v>
      </c>
      <c r="V12" s="119" t="s">
        <v>59</v>
      </c>
      <c r="AL12" s="123">
        <v>1</v>
      </c>
      <c r="AM12" s="123">
        <v>1</v>
      </c>
      <c r="AN12" s="123">
        <v>1</v>
      </c>
      <c r="AT12" s="123">
        <v>1</v>
      </c>
      <c r="AU12" s="123">
        <v>1</v>
      </c>
      <c r="AV12" s="123">
        <v>1</v>
      </c>
    </row>
    <row r="13" spans="1:74" ht="90" x14ac:dyDescent="0.25">
      <c r="A13" s="123" t="s">
        <v>1360</v>
      </c>
      <c r="B13" s="135" t="s">
        <v>1128</v>
      </c>
      <c r="C13" s="136"/>
      <c r="D13" s="135" t="s">
        <v>800</v>
      </c>
      <c r="E13" s="119" t="s">
        <v>801</v>
      </c>
      <c r="F13" s="140" t="s">
        <v>101</v>
      </c>
      <c r="G13" s="119" t="s">
        <v>143</v>
      </c>
      <c r="I13" s="119" t="s">
        <v>103</v>
      </c>
      <c r="J13" s="119" t="s">
        <v>55</v>
      </c>
      <c r="K13" s="119" t="s">
        <v>56</v>
      </c>
      <c r="N13" s="119" t="s">
        <v>39</v>
      </c>
      <c r="O13" s="119" t="s">
        <v>40</v>
      </c>
      <c r="P13" s="119" t="s">
        <v>41</v>
      </c>
      <c r="Q13" s="119" t="s">
        <v>58</v>
      </c>
      <c r="R13" s="140" t="s">
        <v>1061</v>
      </c>
      <c r="V13" s="119" t="s">
        <v>43</v>
      </c>
      <c r="AF13" s="123">
        <v>1</v>
      </c>
      <c r="AG13" s="123">
        <v>1</v>
      </c>
    </row>
    <row r="14" spans="1:74" ht="30" x14ac:dyDescent="0.25">
      <c r="A14" s="123" t="s">
        <v>573</v>
      </c>
      <c r="B14" s="135" t="s">
        <v>1126</v>
      </c>
      <c r="C14" s="136"/>
      <c r="D14" s="135" t="s">
        <v>575</v>
      </c>
      <c r="F14" s="140" t="s">
        <v>576</v>
      </c>
      <c r="G14" s="119" t="s">
        <v>143</v>
      </c>
      <c r="I14" s="119" t="s">
        <v>82</v>
      </c>
      <c r="J14" s="119" t="s">
        <v>55</v>
      </c>
      <c r="K14" s="119" t="s">
        <v>56</v>
      </c>
      <c r="N14" s="119" t="s">
        <v>39</v>
      </c>
      <c r="O14" s="119" t="s">
        <v>40</v>
      </c>
      <c r="P14" s="119" t="s">
        <v>41</v>
      </c>
      <c r="Q14" s="119" t="s">
        <v>42</v>
      </c>
      <c r="R14" s="140" t="s">
        <v>1361</v>
      </c>
      <c r="V14" s="119" t="s">
        <v>84</v>
      </c>
      <c r="BB14" s="123">
        <v>1</v>
      </c>
      <c r="BC14" s="123">
        <v>1</v>
      </c>
      <c r="BD14" s="123">
        <v>1</v>
      </c>
      <c r="BE14" s="123">
        <v>1</v>
      </c>
      <c r="BO14" s="123">
        <v>1</v>
      </c>
      <c r="BP14" s="123">
        <v>1</v>
      </c>
      <c r="BQ14" s="123">
        <v>1</v>
      </c>
      <c r="BR14" s="123">
        <v>1</v>
      </c>
    </row>
    <row r="15" spans="1:74" ht="30" x14ac:dyDescent="0.25">
      <c r="A15" s="123" t="s">
        <v>578</v>
      </c>
      <c r="B15" s="135" t="s">
        <v>579</v>
      </c>
      <c r="C15" s="136"/>
      <c r="D15" s="135" t="s">
        <v>579</v>
      </c>
      <c r="F15" s="140" t="s">
        <v>576</v>
      </c>
      <c r="G15" s="119" t="s">
        <v>143</v>
      </c>
      <c r="I15" s="119" t="s">
        <v>82</v>
      </c>
      <c r="J15" s="119" t="s">
        <v>55</v>
      </c>
      <c r="K15" s="119" t="s">
        <v>56</v>
      </c>
      <c r="N15" s="119" t="s">
        <v>39</v>
      </c>
      <c r="P15" s="119" t="s">
        <v>41</v>
      </c>
      <c r="Q15" s="119" t="s">
        <v>58</v>
      </c>
      <c r="R15" s="140" t="s">
        <v>1123</v>
      </c>
      <c r="V15" s="119" t="s">
        <v>96</v>
      </c>
      <c r="BE15" s="123">
        <v>1</v>
      </c>
      <c r="BF15" s="123">
        <v>1</v>
      </c>
      <c r="BG15" s="123">
        <v>1</v>
      </c>
      <c r="BH15" s="123">
        <v>1</v>
      </c>
      <c r="BI15" s="123">
        <v>1</v>
      </c>
      <c r="BJ15" s="123">
        <v>1</v>
      </c>
      <c r="BK15" s="123">
        <v>1</v>
      </c>
      <c r="BL15" s="123">
        <v>1</v>
      </c>
      <c r="BM15" s="123">
        <v>1</v>
      </c>
      <c r="BN15" s="123">
        <v>1</v>
      </c>
    </row>
    <row r="16" spans="1:74" ht="30" x14ac:dyDescent="0.25">
      <c r="A16" s="123" t="s">
        <v>1362</v>
      </c>
      <c r="B16" s="135" t="s">
        <v>813</v>
      </c>
      <c r="C16" s="136"/>
      <c r="D16" s="135" t="s">
        <v>813</v>
      </c>
      <c r="F16" s="139" t="s">
        <v>814</v>
      </c>
      <c r="G16" s="119" t="s">
        <v>143</v>
      </c>
      <c r="I16" s="119" t="s">
        <v>82</v>
      </c>
      <c r="J16" s="119" t="s">
        <v>55</v>
      </c>
      <c r="K16" s="119" t="s">
        <v>56</v>
      </c>
      <c r="N16" s="119" t="s">
        <v>39</v>
      </c>
      <c r="O16" s="119" t="s">
        <v>40</v>
      </c>
      <c r="P16" s="119" t="s">
        <v>57</v>
      </c>
      <c r="Q16" s="119" t="s">
        <v>58</v>
      </c>
      <c r="R16" s="140" t="s">
        <v>1363</v>
      </c>
      <c r="V16" s="119" t="s">
        <v>43</v>
      </c>
      <c r="W16" s="123">
        <v>1</v>
      </c>
      <c r="X16" s="123">
        <v>1</v>
      </c>
      <c r="Y16" s="123">
        <v>1</v>
      </c>
      <c r="Z16" s="123">
        <v>1</v>
      </c>
      <c r="AA16" s="123">
        <v>1</v>
      </c>
    </row>
    <row r="17" spans="1:74" ht="30" x14ac:dyDescent="0.25">
      <c r="A17" s="123" t="s">
        <v>1364</v>
      </c>
      <c r="B17" s="135" t="s">
        <v>1365</v>
      </c>
      <c r="C17" s="136"/>
      <c r="D17" s="135" t="s">
        <v>140</v>
      </c>
      <c r="F17" s="119" t="s">
        <v>190</v>
      </c>
      <c r="G17" s="119" t="s">
        <v>143</v>
      </c>
      <c r="I17" s="119" t="s">
        <v>103</v>
      </c>
      <c r="J17" s="119" t="s">
        <v>55</v>
      </c>
      <c r="K17" s="119" t="s">
        <v>56</v>
      </c>
      <c r="N17" s="119" t="s">
        <v>39</v>
      </c>
      <c r="O17" s="119" t="s">
        <v>40</v>
      </c>
      <c r="P17" s="119" t="s">
        <v>57</v>
      </c>
      <c r="Q17" s="119" t="s">
        <v>57</v>
      </c>
      <c r="R17" s="119" t="s">
        <v>1366</v>
      </c>
      <c r="V17" s="119" t="s">
        <v>43</v>
      </c>
      <c r="W17" s="123">
        <v>1</v>
      </c>
      <c r="X17" s="123">
        <v>1</v>
      </c>
      <c r="Y17" s="123">
        <v>1</v>
      </c>
      <c r="Z17" s="123">
        <v>1</v>
      </c>
      <c r="AA17" s="123">
        <v>1</v>
      </c>
      <c r="AB17" s="123">
        <v>1</v>
      </c>
      <c r="AC17" s="123">
        <v>1</v>
      </c>
      <c r="AD17" s="123">
        <v>1</v>
      </c>
      <c r="AE17" s="123">
        <v>1</v>
      </c>
    </row>
    <row r="18" spans="1:74" ht="60" x14ac:dyDescent="0.25">
      <c r="A18" s="123" t="s">
        <v>1367</v>
      </c>
      <c r="B18" s="119" t="s">
        <v>876</v>
      </c>
      <c r="C18" s="119" t="s">
        <v>876</v>
      </c>
      <c r="D18" s="119" t="s">
        <v>49</v>
      </c>
      <c r="E18" s="119" t="s">
        <v>50</v>
      </c>
      <c r="F18" s="119" t="s">
        <v>51</v>
      </c>
      <c r="G18" s="119" t="s">
        <v>143</v>
      </c>
      <c r="I18" s="119" t="s">
        <v>54</v>
      </c>
      <c r="J18" s="119" t="s">
        <v>55</v>
      </c>
      <c r="K18" s="119" t="s">
        <v>56</v>
      </c>
      <c r="N18" s="119" t="s">
        <v>39</v>
      </c>
      <c r="O18" s="119" t="s">
        <v>40</v>
      </c>
      <c r="P18" s="119" t="s">
        <v>57</v>
      </c>
      <c r="Q18" s="119" t="s">
        <v>58</v>
      </c>
      <c r="R18" s="119" t="s">
        <v>1123</v>
      </c>
      <c r="V18" s="119" t="s">
        <v>43</v>
      </c>
      <c r="BK18" s="127"/>
      <c r="BL18" s="127"/>
      <c r="BM18" s="127"/>
      <c r="BN18" s="127"/>
      <c r="BO18" s="127"/>
      <c r="BP18" s="127"/>
      <c r="BQ18" s="127"/>
    </row>
    <row r="19" spans="1:74" ht="45" x14ac:dyDescent="0.25">
      <c r="A19" s="123" t="s">
        <v>1368</v>
      </c>
      <c r="B19" s="119" t="s">
        <v>881</v>
      </c>
      <c r="C19" s="119" t="s">
        <v>881</v>
      </c>
      <c r="D19" s="119" t="s">
        <v>49</v>
      </c>
      <c r="E19" s="119" t="s">
        <v>50</v>
      </c>
      <c r="F19" s="119" t="s">
        <v>51</v>
      </c>
      <c r="G19" s="119" t="s">
        <v>143</v>
      </c>
      <c r="I19" s="119" t="s">
        <v>54</v>
      </c>
      <c r="J19" s="119" t="s">
        <v>55</v>
      </c>
      <c r="K19" s="119" t="s">
        <v>56</v>
      </c>
      <c r="N19" s="119" t="s">
        <v>39</v>
      </c>
      <c r="O19" s="119" t="s">
        <v>40</v>
      </c>
      <c r="P19" s="119" t="s">
        <v>57</v>
      </c>
      <c r="Q19" s="119" t="s">
        <v>58</v>
      </c>
      <c r="R19" s="119" t="s">
        <v>1121</v>
      </c>
      <c r="V19" s="119" t="s">
        <v>43</v>
      </c>
      <c r="BK19" s="127"/>
      <c r="BL19" s="127"/>
      <c r="BM19" s="127"/>
      <c r="BN19" s="127"/>
      <c r="BO19" s="127"/>
      <c r="BP19" s="127"/>
      <c r="BQ19" s="127"/>
    </row>
    <row r="20" spans="1:74" ht="45" x14ac:dyDescent="0.25">
      <c r="A20" s="123" t="s">
        <v>1369</v>
      </c>
      <c r="B20" s="119" t="s">
        <v>48</v>
      </c>
      <c r="C20" s="119" t="s">
        <v>48</v>
      </c>
      <c r="D20" s="119" t="s">
        <v>49</v>
      </c>
      <c r="E20" s="119" t="s">
        <v>50</v>
      </c>
      <c r="F20" s="119" t="s">
        <v>51</v>
      </c>
      <c r="G20" s="119" t="s">
        <v>143</v>
      </c>
      <c r="I20" s="119" t="s">
        <v>54</v>
      </c>
      <c r="J20" s="119" t="s">
        <v>55</v>
      </c>
      <c r="K20" s="119" t="s">
        <v>56</v>
      </c>
      <c r="N20" s="119" t="s">
        <v>39</v>
      </c>
      <c r="O20" s="119" t="s">
        <v>40</v>
      </c>
      <c r="P20" s="119" t="s">
        <v>57</v>
      </c>
      <c r="Q20" s="119" t="s">
        <v>58</v>
      </c>
      <c r="R20" s="119" t="s">
        <v>1370</v>
      </c>
      <c r="V20" s="119" t="s">
        <v>43</v>
      </c>
      <c r="W20" s="127"/>
      <c r="X20" s="127"/>
      <c r="Y20" s="127"/>
      <c r="Z20" s="127"/>
    </row>
    <row r="21" spans="1:74" ht="45" x14ac:dyDescent="0.25">
      <c r="A21" s="123" t="s">
        <v>1371</v>
      </c>
      <c r="B21" s="119" t="s">
        <v>886</v>
      </c>
      <c r="C21" s="119" t="s">
        <v>886</v>
      </c>
      <c r="D21" s="119" t="s">
        <v>49</v>
      </c>
      <c r="E21" s="119" t="s">
        <v>50</v>
      </c>
      <c r="F21" s="119" t="s">
        <v>51</v>
      </c>
      <c r="G21" s="119" t="s">
        <v>143</v>
      </c>
      <c r="I21" s="119" t="s">
        <v>54</v>
      </c>
      <c r="J21" s="119" t="s">
        <v>55</v>
      </c>
      <c r="K21" s="119" t="s">
        <v>56</v>
      </c>
      <c r="N21" s="119" t="s">
        <v>39</v>
      </c>
      <c r="O21" s="119" t="s">
        <v>40</v>
      </c>
      <c r="P21" s="119" t="s">
        <v>57</v>
      </c>
      <c r="Q21" s="119" t="s">
        <v>58</v>
      </c>
      <c r="R21" s="119" t="s">
        <v>1117</v>
      </c>
      <c r="V21" s="119" t="s">
        <v>43</v>
      </c>
      <c r="BK21" s="127"/>
      <c r="BL21" s="127"/>
      <c r="BM21" s="127"/>
      <c r="BN21" s="127"/>
      <c r="BO21" s="127"/>
      <c r="BP21" s="127"/>
      <c r="BQ21" s="127"/>
    </row>
    <row r="22" spans="1:74" ht="60" x14ac:dyDescent="0.25">
      <c r="A22" s="123" t="s">
        <v>1372</v>
      </c>
      <c r="B22" s="141" t="s">
        <v>1373</v>
      </c>
      <c r="C22" s="141"/>
      <c r="D22" s="141" t="s">
        <v>1373</v>
      </c>
      <c r="E22" s="141"/>
      <c r="F22" s="119" t="s">
        <v>891</v>
      </c>
      <c r="G22" s="141" t="s">
        <v>143</v>
      </c>
      <c r="I22" s="119" t="s">
        <v>103</v>
      </c>
      <c r="J22" s="119" t="s">
        <v>55</v>
      </c>
      <c r="K22" s="119" t="s">
        <v>56</v>
      </c>
      <c r="N22" s="119" t="s">
        <v>39</v>
      </c>
      <c r="P22" s="119" t="s">
        <v>41</v>
      </c>
      <c r="Q22" s="119" t="s">
        <v>58</v>
      </c>
      <c r="R22" s="119" t="s">
        <v>1374</v>
      </c>
      <c r="V22" s="119" t="s">
        <v>43</v>
      </c>
      <c r="AM22" s="123">
        <v>1</v>
      </c>
      <c r="AN22" s="123">
        <v>1</v>
      </c>
      <c r="AO22" s="123">
        <v>1</v>
      </c>
      <c r="AP22" s="123">
        <v>1</v>
      </c>
      <c r="AQ22" s="123">
        <v>1</v>
      </c>
    </row>
    <row r="23" spans="1:74" ht="30" x14ac:dyDescent="0.25">
      <c r="A23" s="123" t="s">
        <v>1375</v>
      </c>
      <c r="B23" s="141" t="s">
        <v>896</v>
      </c>
      <c r="D23" s="141" t="s">
        <v>896</v>
      </c>
      <c r="F23" s="119" t="s">
        <v>891</v>
      </c>
      <c r="G23" s="141" t="s">
        <v>143</v>
      </c>
      <c r="I23" s="119" t="s">
        <v>103</v>
      </c>
      <c r="J23" s="119" t="s">
        <v>55</v>
      </c>
      <c r="K23" s="119" t="s">
        <v>56</v>
      </c>
      <c r="N23" s="119" t="s">
        <v>39</v>
      </c>
      <c r="P23" s="119" t="s">
        <v>41</v>
      </c>
      <c r="Q23" s="119" t="s">
        <v>58</v>
      </c>
      <c r="R23" s="119" t="s">
        <v>1374</v>
      </c>
      <c r="V23" s="119" t="s">
        <v>84</v>
      </c>
      <c r="AM23" s="123">
        <v>1</v>
      </c>
      <c r="AN23" s="123">
        <v>1</v>
      </c>
      <c r="AO23" s="123">
        <v>1</v>
      </c>
      <c r="AP23" s="123">
        <v>1</v>
      </c>
      <c r="AQ23" s="123">
        <v>1</v>
      </c>
    </row>
    <row r="24" spans="1:74" ht="30" x14ac:dyDescent="0.25">
      <c r="A24" s="123" t="s">
        <v>1376</v>
      </c>
      <c r="B24" s="119" t="s">
        <v>907</v>
      </c>
      <c r="D24" s="119" t="s">
        <v>907</v>
      </c>
      <c r="F24" s="119" t="s">
        <v>908</v>
      </c>
      <c r="G24" s="141" t="s">
        <v>143</v>
      </c>
      <c r="I24" s="119" t="s">
        <v>103</v>
      </c>
      <c r="J24" s="119" t="s">
        <v>55</v>
      </c>
      <c r="K24" s="119" t="s">
        <v>56</v>
      </c>
      <c r="N24" s="119" t="s">
        <v>39</v>
      </c>
      <c r="P24" s="119" t="s">
        <v>57</v>
      </c>
      <c r="Q24" s="119" t="s">
        <v>58</v>
      </c>
      <c r="R24" s="119" t="s">
        <v>1377</v>
      </c>
      <c r="V24" s="119" t="s">
        <v>43</v>
      </c>
      <c r="AT24" s="127"/>
      <c r="AU24" s="127"/>
      <c r="AV24" s="127"/>
    </row>
    <row r="25" spans="1:74" ht="30" x14ac:dyDescent="0.25">
      <c r="A25" s="123" t="s">
        <v>580</v>
      </c>
      <c r="B25" s="119" t="s">
        <v>581</v>
      </c>
      <c r="D25" s="119" t="s">
        <v>581</v>
      </c>
      <c r="F25" s="119" t="s">
        <v>583</v>
      </c>
      <c r="G25" s="119" t="s">
        <v>143</v>
      </c>
      <c r="I25" s="119" t="s">
        <v>584</v>
      </c>
      <c r="J25" s="119" t="s">
        <v>55</v>
      </c>
      <c r="K25" s="119" t="s">
        <v>56</v>
      </c>
      <c r="N25" s="119" t="s">
        <v>39</v>
      </c>
      <c r="P25" s="119" t="s">
        <v>57</v>
      </c>
      <c r="Q25" s="119" t="s">
        <v>58</v>
      </c>
      <c r="R25" s="119" t="s">
        <v>1348</v>
      </c>
      <c r="V25" s="119" t="s">
        <v>43</v>
      </c>
      <c r="BT25" s="127"/>
      <c r="BU25" s="127"/>
      <c r="BV25" s="127"/>
    </row>
    <row r="26" spans="1:74" ht="30" x14ac:dyDescent="0.25">
      <c r="A26" s="123" t="s">
        <v>1378</v>
      </c>
      <c r="B26" s="119" t="s">
        <v>848</v>
      </c>
      <c r="D26" s="119" t="s">
        <v>1060</v>
      </c>
      <c r="F26" s="119" t="s">
        <v>583</v>
      </c>
      <c r="G26" s="119" t="s">
        <v>143</v>
      </c>
      <c r="I26" s="119" t="s">
        <v>584</v>
      </c>
      <c r="J26" s="119" t="s">
        <v>55</v>
      </c>
      <c r="K26" s="119" t="s">
        <v>56</v>
      </c>
      <c r="N26" s="119" t="s">
        <v>39</v>
      </c>
      <c r="P26" s="119" t="s">
        <v>57</v>
      </c>
      <c r="Q26" s="119" t="s">
        <v>58</v>
      </c>
      <c r="R26" s="119" t="s">
        <v>1061</v>
      </c>
      <c r="V26" s="119" t="s">
        <v>43</v>
      </c>
      <c r="AF26" s="123">
        <v>1</v>
      </c>
      <c r="AG26" s="123">
        <v>1</v>
      </c>
      <c r="AH26" s="123">
        <v>1</v>
      </c>
      <c r="AI26" s="123">
        <v>1</v>
      </c>
    </row>
    <row r="27" spans="1:74" ht="30" x14ac:dyDescent="0.25">
      <c r="A27" s="123" t="s">
        <v>347</v>
      </c>
      <c r="B27" s="119" t="s">
        <v>348</v>
      </c>
      <c r="D27" s="119" t="s">
        <v>348</v>
      </c>
      <c r="G27" s="119" t="s">
        <v>143</v>
      </c>
      <c r="I27" s="119" t="s">
        <v>103</v>
      </c>
      <c r="J27" s="119" t="s">
        <v>55</v>
      </c>
      <c r="K27" s="119" t="s">
        <v>56</v>
      </c>
      <c r="N27" s="119" t="s">
        <v>39</v>
      </c>
      <c r="P27" s="119" t="s">
        <v>57</v>
      </c>
      <c r="Q27" s="119" t="s">
        <v>58</v>
      </c>
      <c r="R27" s="119" t="s">
        <v>1057</v>
      </c>
      <c r="V27" s="119" t="s">
        <v>43</v>
      </c>
      <c r="BL27" s="127"/>
      <c r="BM27" s="127"/>
      <c r="BN27" s="127"/>
    </row>
    <row r="28" spans="1:74" ht="30" x14ac:dyDescent="0.25">
      <c r="A28" s="123" t="s">
        <v>1379</v>
      </c>
      <c r="B28" s="119" t="s">
        <v>761</v>
      </c>
      <c r="D28" s="119" t="s">
        <v>947</v>
      </c>
      <c r="F28" s="119" t="s">
        <v>583</v>
      </c>
      <c r="G28" s="119" t="s">
        <v>143</v>
      </c>
      <c r="I28" s="119" t="s">
        <v>584</v>
      </c>
      <c r="J28" s="119" t="s">
        <v>55</v>
      </c>
      <c r="K28" s="119" t="s">
        <v>56</v>
      </c>
      <c r="N28" s="119" t="s">
        <v>39</v>
      </c>
      <c r="P28" s="119" t="s">
        <v>57</v>
      </c>
      <c r="Q28" s="119" t="s">
        <v>58</v>
      </c>
      <c r="R28" s="119" t="s">
        <v>1377</v>
      </c>
      <c r="V28" s="119" t="s">
        <v>43</v>
      </c>
      <c r="AV28" s="127"/>
      <c r="AW28" s="127"/>
      <c r="AX28" s="127"/>
    </row>
    <row r="29" spans="1:74" ht="30" x14ac:dyDescent="0.25">
      <c r="A29" s="123" t="s">
        <v>1380</v>
      </c>
      <c r="B29" s="119" t="s">
        <v>757</v>
      </c>
      <c r="D29" s="119" t="s">
        <v>757</v>
      </c>
      <c r="E29" s="119" t="s">
        <v>758</v>
      </c>
      <c r="G29" s="119" t="s">
        <v>143</v>
      </c>
      <c r="I29" s="119" t="s">
        <v>584</v>
      </c>
      <c r="J29" s="119" t="s">
        <v>55</v>
      </c>
      <c r="K29" s="119" t="s">
        <v>56</v>
      </c>
      <c r="N29" s="119" t="s">
        <v>39</v>
      </c>
      <c r="P29" s="119" t="s">
        <v>57</v>
      </c>
      <c r="Q29" s="119" t="s">
        <v>58</v>
      </c>
      <c r="R29" s="119" t="s">
        <v>1381</v>
      </c>
      <c r="V29" s="119" t="s">
        <v>43</v>
      </c>
      <c r="AB29" s="123">
        <v>1</v>
      </c>
      <c r="AC29" s="123">
        <v>1</v>
      </c>
      <c r="AD29" s="123">
        <v>1</v>
      </c>
      <c r="AE29" s="123">
        <v>1</v>
      </c>
    </row>
    <row r="30" spans="1:74" ht="30" x14ac:dyDescent="0.25">
      <c r="A30" s="123" t="s">
        <v>1382</v>
      </c>
      <c r="B30" s="119" t="s">
        <v>732</v>
      </c>
      <c r="D30" s="119" t="s">
        <v>733</v>
      </c>
      <c r="E30" s="119" t="s">
        <v>734</v>
      </c>
      <c r="F30" s="119" t="s">
        <v>735</v>
      </c>
      <c r="G30" s="119" t="s">
        <v>143</v>
      </c>
      <c r="I30" s="119" t="s">
        <v>103</v>
      </c>
      <c r="J30" s="119" t="s">
        <v>55</v>
      </c>
      <c r="K30" s="119" t="s">
        <v>56</v>
      </c>
      <c r="N30" s="119" t="s">
        <v>39</v>
      </c>
      <c r="O30" s="119" t="s">
        <v>40</v>
      </c>
      <c r="P30" s="119" t="s">
        <v>41</v>
      </c>
      <c r="Q30" s="119" t="s">
        <v>58</v>
      </c>
      <c r="R30" s="119" t="s">
        <v>1061</v>
      </c>
      <c r="V30" s="119" t="s">
        <v>43</v>
      </c>
      <c r="AF30" s="123">
        <v>1</v>
      </c>
      <c r="AG30" s="123">
        <v>1</v>
      </c>
      <c r="AH30" s="123">
        <v>1</v>
      </c>
      <c r="AI30" s="123">
        <v>1</v>
      </c>
    </row>
    <row r="31" spans="1:74" ht="44.25" customHeight="1" x14ac:dyDescent="0.25">
      <c r="A31" s="123" t="s">
        <v>1383</v>
      </c>
      <c r="B31" s="119" t="s">
        <v>728</v>
      </c>
      <c r="D31" s="119" t="s">
        <v>728</v>
      </c>
      <c r="F31" s="119" t="s">
        <v>583</v>
      </c>
      <c r="G31" s="119" t="s">
        <v>143</v>
      </c>
      <c r="I31" s="119" t="s">
        <v>584</v>
      </c>
      <c r="J31" s="119" t="s">
        <v>55</v>
      </c>
      <c r="K31" s="119" t="s">
        <v>56</v>
      </c>
      <c r="N31" s="119" t="s">
        <v>39</v>
      </c>
      <c r="P31" s="119" t="s">
        <v>57</v>
      </c>
      <c r="Q31" s="119" t="s">
        <v>57</v>
      </c>
      <c r="R31" s="119" t="s">
        <v>1384</v>
      </c>
      <c r="V31" s="119" t="s">
        <v>43</v>
      </c>
      <c r="BD31" s="123">
        <v>1</v>
      </c>
      <c r="BE31" s="123">
        <v>1</v>
      </c>
      <c r="BF31" s="123">
        <v>1</v>
      </c>
      <c r="BG31" s="123">
        <v>1</v>
      </c>
      <c r="BH31" s="123">
        <v>1</v>
      </c>
      <c r="BI31" s="123">
        <v>1</v>
      </c>
      <c r="BJ31" s="123">
        <v>1</v>
      </c>
      <c r="BK31" s="123">
        <v>1</v>
      </c>
    </row>
    <row r="32" spans="1:74" ht="45" x14ac:dyDescent="0.25">
      <c r="A32" s="123" t="s">
        <v>620</v>
      </c>
      <c r="B32" s="119" t="s">
        <v>621</v>
      </c>
      <c r="D32" s="119" t="s">
        <v>622</v>
      </c>
      <c r="F32" s="119" t="s">
        <v>624</v>
      </c>
      <c r="G32" s="119" t="s">
        <v>143</v>
      </c>
      <c r="I32" s="119" t="s">
        <v>54</v>
      </c>
      <c r="J32" s="119" t="s">
        <v>55</v>
      </c>
      <c r="K32" s="119" t="s">
        <v>56</v>
      </c>
      <c r="N32" s="119" t="s">
        <v>39</v>
      </c>
      <c r="P32" s="119" t="s">
        <v>41</v>
      </c>
      <c r="Q32" s="119" t="s">
        <v>57</v>
      </c>
      <c r="R32" s="119" t="s">
        <v>1385</v>
      </c>
      <c r="V32" s="119" t="s">
        <v>84</v>
      </c>
      <c r="BB32" s="123">
        <v>1</v>
      </c>
      <c r="BC32" s="123">
        <v>1</v>
      </c>
      <c r="BD32" s="123">
        <v>1</v>
      </c>
      <c r="BE32" s="123">
        <v>1</v>
      </c>
      <c r="BF32" s="123">
        <v>1</v>
      </c>
      <c r="BG32" s="123">
        <v>1</v>
      </c>
      <c r="BH32" s="123">
        <v>1</v>
      </c>
      <c r="BI32" s="123">
        <v>1</v>
      </c>
      <c r="BJ32" s="123">
        <v>1</v>
      </c>
      <c r="BK32" s="123">
        <v>1</v>
      </c>
    </row>
    <row r="33" spans="1:74" ht="60" x14ac:dyDescent="0.25">
      <c r="A33" s="123" t="s">
        <v>586</v>
      </c>
      <c r="B33" s="119" t="s">
        <v>587</v>
      </c>
      <c r="D33" s="119" t="s">
        <v>588</v>
      </c>
      <c r="F33" s="119" t="s">
        <v>101</v>
      </c>
      <c r="G33" s="119" t="s">
        <v>143</v>
      </c>
      <c r="I33" s="119" t="s">
        <v>103</v>
      </c>
      <c r="J33" s="119" t="s">
        <v>55</v>
      </c>
      <c r="K33" s="119" t="s">
        <v>56</v>
      </c>
      <c r="N33" s="119" t="s">
        <v>39</v>
      </c>
      <c r="P33" s="119" t="s">
        <v>41</v>
      </c>
      <c r="Q33" s="119" t="s">
        <v>57</v>
      </c>
      <c r="R33" s="119" t="s">
        <v>1385</v>
      </c>
      <c r="V33" s="119" t="s">
        <v>43</v>
      </c>
      <c r="BB33" s="123">
        <v>1</v>
      </c>
      <c r="BC33" s="123">
        <v>1</v>
      </c>
      <c r="BD33" s="123">
        <v>1</v>
      </c>
      <c r="BE33" s="123">
        <v>1</v>
      </c>
      <c r="BF33" s="123">
        <v>1</v>
      </c>
      <c r="BG33" s="123">
        <v>1</v>
      </c>
      <c r="BH33" s="123">
        <v>1</v>
      </c>
      <c r="BI33" s="123">
        <v>1</v>
      </c>
      <c r="BJ33" s="123">
        <v>1</v>
      </c>
      <c r="BK33" s="123">
        <v>1</v>
      </c>
    </row>
    <row r="34" spans="1:74" ht="45" x14ac:dyDescent="0.25">
      <c r="A34" s="123" t="s">
        <v>1386</v>
      </c>
      <c r="B34" s="119" t="s">
        <v>721</v>
      </c>
      <c r="D34" s="119" t="s">
        <v>1387</v>
      </c>
      <c r="F34" s="119" t="s">
        <v>119</v>
      </c>
      <c r="G34" s="119" t="s">
        <v>143</v>
      </c>
      <c r="I34" s="119" t="s">
        <v>103</v>
      </c>
      <c r="J34" s="119" t="s">
        <v>55</v>
      </c>
      <c r="K34" s="119" t="s">
        <v>56</v>
      </c>
      <c r="N34" s="119" t="s">
        <v>39</v>
      </c>
      <c r="P34" s="119" t="s">
        <v>41</v>
      </c>
      <c r="Q34" s="119" t="s">
        <v>57</v>
      </c>
      <c r="R34" s="119" t="s">
        <v>1388</v>
      </c>
      <c r="V34" s="119" t="s">
        <v>43</v>
      </c>
      <c r="BO34" s="123">
        <v>1</v>
      </c>
      <c r="BP34" s="123">
        <v>1</v>
      </c>
      <c r="BQ34" s="123">
        <v>1</v>
      </c>
      <c r="BR34" s="123">
        <v>1</v>
      </c>
      <c r="BS34" s="123">
        <v>1</v>
      </c>
      <c r="BT34" s="123">
        <v>1</v>
      </c>
      <c r="BU34" s="123">
        <v>1</v>
      </c>
      <c r="BV34" s="123">
        <v>1</v>
      </c>
    </row>
    <row r="35" spans="1:74" ht="45" x14ac:dyDescent="0.25">
      <c r="A35" s="123" t="s">
        <v>1389</v>
      </c>
      <c r="B35" s="119" t="s">
        <v>626</v>
      </c>
      <c r="C35" s="119" t="s">
        <v>627</v>
      </c>
      <c r="D35" s="119" t="s">
        <v>628</v>
      </c>
      <c r="E35" s="119" t="s">
        <v>629</v>
      </c>
      <c r="F35" s="119" t="s">
        <v>518</v>
      </c>
      <c r="G35" s="119" t="s">
        <v>143</v>
      </c>
      <c r="I35" s="119" t="s">
        <v>54</v>
      </c>
      <c r="J35" s="119" t="s">
        <v>144</v>
      </c>
      <c r="K35" s="119" t="s">
        <v>56</v>
      </c>
      <c r="N35" s="119" t="s">
        <v>39</v>
      </c>
      <c r="O35" s="119" t="s">
        <v>40</v>
      </c>
      <c r="P35" s="119" t="s">
        <v>41</v>
      </c>
      <c r="Q35" s="119" t="s">
        <v>58</v>
      </c>
      <c r="R35" s="119" t="s">
        <v>1390</v>
      </c>
      <c r="V35" s="119" t="s">
        <v>43</v>
      </c>
      <c r="W35" s="123">
        <v>1</v>
      </c>
      <c r="X35" s="123">
        <v>1</v>
      </c>
      <c r="BS35" s="123">
        <v>1</v>
      </c>
      <c r="BT35" s="123">
        <v>1</v>
      </c>
      <c r="BU35" s="123">
        <v>1</v>
      </c>
      <c r="BV35" s="123">
        <v>1</v>
      </c>
    </row>
    <row r="36" spans="1:74" ht="45" x14ac:dyDescent="0.25">
      <c r="A36" s="123" t="s">
        <v>1391</v>
      </c>
      <c r="B36" s="119" t="s">
        <v>626</v>
      </c>
      <c r="C36" s="119" t="s">
        <v>684</v>
      </c>
      <c r="D36" s="119" t="s">
        <v>628</v>
      </c>
      <c r="E36" s="119" t="s">
        <v>629</v>
      </c>
      <c r="F36" s="119" t="s">
        <v>518</v>
      </c>
      <c r="G36" s="119" t="s">
        <v>143</v>
      </c>
      <c r="I36" s="119" t="s">
        <v>54</v>
      </c>
      <c r="J36" s="119" t="s">
        <v>144</v>
      </c>
      <c r="K36" s="119" t="s">
        <v>56</v>
      </c>
      <c r="N36" s="119" t="s">
        <v>39</v>
      </c>
      <c r="O36" s="119" t="s">
        <v>40</v>
      </c>
      <c r="P36" s="119" t="s">
        <v>41</v>
      </c>
      <c r="Q36" s="119" t="s">
        <v>58</v>
      </c>
      <c r="R36" s="119" t="s">
        <v>1392</v>
      </c>
      <c r="V36" s="119" t="s">
        <v>43</v>
      </c>
      <c r="AF36" s="123">
        <v>1</v>
      </c>
      <c r="AG36" s="123">
        <v>1</v>
      </c>
      <c r="AH36" s="123">
        <v>1</v>
      </c>
      <c r="AI36" s="123">
        <v>1</v>
      </c>
    </row>
    <row r="37" spans="1:74" ht="90" x14ac:dyDescent="0.25">
      <c r="A37" s="123" t="s">
        <v>1393</v>
      </c>
      <c r="B37" s="119" t="s">
        <v>251</v>
      </c>
      <c r="C37" s="119" t="s">
        <v>252</v>
      </c>
      <c r="D37" s="119" t="s">
        <v>253</v>
      </c>
      <c r="F37" s="119" t="s">
        <v>254</v>
      </c>
      <c r="G37" s="119" t="s">
        <v>143</v>
      </c>
      <c r="I37" s="119" t="s">
        <v>82</v>
      </c>
      <c r="J37" s="119" t="s">
        <v>55</v>
      </c>
      <c r="K37" s="119" t="s">
        <v>56</v>
      </c>
      <c r="N37" s="119" t="s">
        <v>39</v>
      </c>
      <c r="O37" s="119" t="s">
        <v>39</v>
      </c>
      <c r="P37" s="119" t="s">
        <v>57</v>
      </c>
      <c r="Q37" s="119" t="s">
        <v>57</v>
      </c>
      <c r="R37" s="119" t="s">
        <v>1394</v>
      </c>
      <c r="V37" s="119" t="s">
        <v>43</v>
      </c>
      <c r="W37" s="123">
        <v>1</v>
      </c>
      <c r="X37" s="123">
        <v>1</v>
      </c>
      <c r="BO37" s="123">
        <v>1</v>
      </c>
      <c r="BP37" s="123">
        <v>1</v>
      </c>
      <c r="BQ37" s="123">
        <v>1</v>
      </c>
      <c r="BR37" s="123">
        <v>1</v>
      </c>
      <c r="BS37" s="123">
        <v>1</v>
      </c>
      <c r="BT37" s="123">
        <v>1</v>
      </c>
      <c r="BU37" s="123">
        <v>1</v>
      </c>
      <c r="BV37" s="123">
        <v>1</v>
      </c>
    </row>
    <row r="38" spans="1:74" ht="30" x14ac:dyDescent="0.25">
      <c r="A38" s="123" t="s">
        <v>1395</v>
      </c>
      <c r="B38" s="119" t="s">
        <v>1396</v>
      </c>
      <c r="C38" s="119" t="s">
        <v>1397</v>
      </c>
      <c r="D38" s="119" t="s">
        <v>1398</v>
      </c>
      <c r="F38" s="119" t="s">
        <v>254</v>
      </c>
      <c r="G38" s="119" t="s">
        <v>143</v>
      </c>
      <c r="I38" s="119" t="s">
        <v>82</v>
      </c>
      <c r="J38" s="119" t="s">
        <v>55</v>
      </c>
      <c r="K38" s="119" t="s">
        <v>56</v>
      </c>
      <c r="N38" s="119" t="s">
        <v>39</v>
      </c>
      <c r="O38" s="119" t="s">
        <v>39</v>
      </c>
      <c r="P38" s="119" t="s">
        <v>57</v>
      </c>
      <c r="Q38" s="119" t="s">
        <v>57</v>
      </c>
      <c r="R38" s="119" t="s">
        <v>1394</v>
      </c>
      <c r="V38" s="119" t="s">
        <v>43</v>
      </c>
      <c r="BO38" s="123">
        <v>1</v>
      </c>
      <c r="BP38" s="123">
        <v>1</v>
      </c>
      <c r="BQ38" s="123">
        <v>1</v>
      </c>
    </row>
    <row r="39" spans="1:74" ht="30" x14ac:dyDescent="0.25">
      <c r="A39" s="123" t="s">
        <v>1399</v>
      </c>
      <c r="B39" s="119" t="s">
        <v>673</v>
      </c>
      <c r="F39" s="119" t="s">
        <v>583</v>
      </c>
      <c r="G39" s="119" t="s">
        <v>143</v>
      </c>
      <c r="I39" s="119" t="s">
        <v>584</v>
      </c>
      <c r="J39" s="119" t="s">
        <v>55</v>
      </c>
      <c r="K39" s="119" t="s">
        <v>56</v>
      </c>
      <c r="N39" s="119" t="s">
        <v>39</v>
      </c>
      <c r="P39" s="119" t="s">
        <v>57</v>
      </c>
      <c r="Q39" s="119" t="s">
        <v>58</v>
      </c>
      <c r="R39" s="119" t="s">
        <v>1400</v>
      </c>
      <c r="V39" s="119" t="s">
        <v>43</v>
      </c>
    </row>
    <row r="40" spans="1:74" ht="30" x14ac:dyDescent="0.25">
      <c r="A40" s="123" t="s">
        <v>1401</v>
      </c>
      <c r="B40" s="119" t="s">
        <v>1402</v>
      </c>
      <c r="F40" s="119" t="s">
        <v>583</v>
      </c>
      <c r="G40" s="119" t="s">
        <v>143</v>
      </c>
      <c r="I40" s="119" t="s">
        <v>584</v>
      </c>
      <c r="J40" s="119" t="s">
        <v>55</v>
      </c>
      <c r="K40" s="119" t="s">
        <v>56</v>
      </c>
      <c r="N40" s="119" t="s">
        <v>39</v>
      </c>
      <c r="P40" s="119" t="s">
        <v>57</v>
      </c>
      <c r="Q40" s="119" t="s">
        <v>58</v>
      </c>
      <c r="R40" s="119" t="s">
        <v>1400</v>
      </c>
      <c r="V40" s="119" t="s">
        <v>43</v>
      </c>
    </row>
    <row r="41" spans="1:74" ht="30" x14ac:dyDescent="0.25">
      <c r="A41" s="123" t="s">
        <v>1403</v>
      </c>
      <c r="B41" s="119" t="s">
        <v>1338</v>
      </c>
      <c r="D41" s="119" t="s">
        <v>1339</v>
      </c>
      <c r="F41" s="119" t="s">
        <v>643</v>
      </c>
      <c r="G41" s="119" t="s">
        <v>143</v>
      </c>
      <c r="I41" s="119" t="s">
        <v>82</v>
      </c>
      <c r="J41" s="119" t="s">
        <v>55</v>
      </c>
      <c r="K41" s="119" t="s">
        <v>56</v>
      </c>
      <c r="N41" s="119" t="s">
        <v>39</v>
      </c>
      <c r="P41" s="119" t="s">
        <v>57</v>
      </c>
      <c r="Q41" s="119" t="s">
        <v>57</v>
      </c>
      <c r="R41" s="119" t="s">
        <v>1061</v>
      </c>
      <c r="V41" s="119" t="s">
        <v>43</v>
      </c>
      <c r="AF41" s="123">
        <v>1</v>
      </c>
      <c r="AG41" s="123">
        <v>1</v>
      </c>
      <c r="AH41" s="123">
        <v>1</v>
      </c>
      <c r="AI41" s="123">
        <v>1</v>
      </c>
    </row>
  </sheetData>
  <autoFilter ref="A1:BV40" xr:uid="{6D7BA7A8-84A0-4843-AB00-F7E6B488028A}"/>
  <conditionalFormatting sqref="W1:BV1">
    <cfRule type="timePeriod" dxfId="115" priority="52" timePeriod="thisWeek">
      <formula>AND(TODAY()-ROUNDDOWN(W1,0)&lt;=WEEKDAY(TODAY())-1,ROUNDDOWN(W1,0)-TODAY()&lt;=7-WEEKDAY(TODAY()))</formula>
    </cfRule>
  </conditionalFormatting>
  <conditionalFormatting sqref="BQ27:BV27 W27:BN27 W18:BQ19 W20:BV26 W28:BV37 W2:BV17 W39:BV1048576">
    <cfRule type="cellIs" dxfId="114" priority="51" operator="greaterThan">
      <formula>0</formula>
    </cfRule>
  </conditionalFormatting>
  <conditionalFormatting sqref="E22 G22:H24">
    <cfRule type="expression" dxfId="113" priority="47">
      <formula>$G22="Complete"</formula>
    </cfRule>
    <cfRule type="expression" dxfId="112" priority="48">
      <formula>$G22="On Hold"</formula>
    </cfRule>
    <cfRule type="expression" dxfId="111" priority="49">
      <formula>OR(AND(NOT(ISBLANK($AG22)),$AG22&lt;TODAY()),AND(NOT(ISBLANK($AH22)),$AH22&lt;TODAY()))</formula>
    </cfRule>
    <cfRule type="expression" dxfId="110" priority="50">
      <formula>OR(AND(NOT(ISBLANK($AG22)),$AG22&lt;TODAY()-7),AND(NOT(ISBLANK($AH22)),$AH22&lt;TODAY()-7))</formula>
    </cfRule>
  </conditionalFormatting>
  <conditionalFormatting sqref="A1">
    <cfRule type="expression" dxfId="109" priority="38" stopIfTrue="1">
      <formula>$AK1="Complete"</formula>
    </cfRule>
    <cfRule type="expression" dxfId="108" priority="39" stopIfTrue="1">
      <formula>$AK1="On Hold"</formula>
    </cfRule>
    <cfRule type="expression" dxfId="107" priority="40" stopIfTrue="1">
      <formula>AND($AD1&lt;&gt;"",$AD1&lt;=TODAY())</formula>
    </cfRule>
    <cfRule type="expression" dxfId="106" priority="41" stopIfTrue="1">
      <formula>AND($AJ1&lt;&gt;"",$AJ1&lt;=TODAY())</formula>
    </cfRule>
  </conditionalFormatting>
  <conditionalFormatting sqref="C1">
    <cfRule type="expression" dxfId="105" priority="34" stopIfTrue="1">
      <formula>$AK1="Complete"</formula>
    </cfRule>
    <cfRule type="expression" dxfId="104" priority="35" stopIfTrue="1">
      <formula>$AK1="On Hold"</formula>
    </cfRule>
    <cfRule type="expression" dxfId="103" priority="36" stopIfTrue="1">
      <formula>AND($AD1&lt;&gt;"",$AD1&lt;=TODAY())</formula>
    </cfRule>
    <cfRule type="expression" dxfId="102" priority="37" stopIfTrue="1">
      <formula>AND($AJ1&lt;&gt;"",$AJ1&lt;=TODAY())</formula>
    </cfRule>
  </conditionalFormatting>
  <conditionalFormatting sqref="H1">
    <cfRule type="expression" dxfId="101" priority="26" stopIfTrue="1">
      <formula>$AJ1="Complete"</formula>
    </cfRule>
    <cfRule type="expression" dxfId="100" priority="27" stopIfTrue="1">
      <formula>$AJ1="On Hold"</formula>
    </cfRule>
    <cfRule type="expression" dxfId="99" priority="28" stopIfTrue="1">
      <formula>AND($AC1&lt;&gt;"",$AC1&lt;=TODAY())</formula>
    </cfRule>
    <cfRule type="expression" dxfId="98" priority="29" stopIfTrue="1">
      <formula>AND($AI1&lt;&gt;"",$AI1&lt;=TODAY())</formula>
    </cfRule>
  </conditionalFormatting>
  <conditionalFormatting sqref="L1:M1">
    <cfRule type="expression" dxfId="97" priority="18" stopIfTrue="1">
      <formula>$AE1="Complete"</formula>
    </cfRule>
    <cfRule type="expression" dxfId="96" priority="19" stopIfTrue="1">
      <formula>$AE1="On Hold"</formula>
    </cfRule>
    <cfRule type="expression" dxfId="95" priority="20" stopIfTrue="1">
      <formula>AND($X1&lt;&gt;"",$X1&lt;=TODAY())</formula>
    </cfRule>
    <cfRule type="expression" dxfId="94" priority="21" stopIfTrue="1">
      <formula>AND($AD1&lt;&gt;"",$AD1&lt;=TODAY())</formula>
    </cfRule>
  </conditionalFormatting>
  <conditionalFormatting sqref="B37:F37 H37:Q37 N35:Q36 F38 I38:K38">
    <cfRule type="expression" dxfId="93" priority="14" stopIfTrue="1">
      <formula>$AB35="Complete"</formula>
    </cfRule>
    <cfRule type="expression" dxfId="92" priority="15" stopIfTrue="1">
      <formula>$AB35="On Hold"</formula>
    </cfRule>
    <cfRule type="expression" dxfId="91" priority="16" stopIfTrue="1">
      <formula>AND($U35&lt;&gt;"",$U35&lt;=TODAY())</formula>
    </cfRule>
    <cfRule type="expression" dxfId="90" priority="17" stopIfTrue="1">
      <formula>AND($AA35&lt;&gt;"",$AA35&lt;=TODAY())</formula>
    </cfRule>
  </conditionalFormatting>
  <conditionalFormatting sqref="B12">
    <cfRule type="expression" dxfId="89" priority="2" stopIfTrue="1">
      <formula>$AA12="Complete"</formula>
    </cfRule>
    <cfRule type="expression" dxfId="88" priority="3" stopIfTrue="1">
      <formula>$AA12="On Hold"</formula>
    </cfRule>
    <cfRule type="expression" dxfId="87" priority="4" stopIfTrue="1">
      <formula>AND($T12&lt;&gt;"",$T12&lt;=TODAY())</formula>
    </cfRule>
    <cfRule type="expression" dxfId="86" priority="5" stopIfTrue="1">
      <formula>AND($Z12&lt;&gt;"",$Z12&lt;=TODAY())</formula>
    </cfRule>
  </conditionalFormatting>
  <conditionalFormatting sqref="BO38:BQ38">
    <cfRule type="cellIs" dxfId="85" priority="1" operator="greaterThan">
      <formula>0</formula>
    </cfRule>
  </conditionalFormatting>
  <dataValidations count="10">
    <dataValidation type="list" allowBlank="1" showInputMessage="1" showErrorMessage="1" sqref="I39:I1048576 I1:I36 P42:P1048576" xr:uid="{291EAFB0-C930-4D06-87BA-4C9AAC3CD58B}">
      <formula1>mandate</formula1>
    </dataValidation>
    <dataValidation type="list" allowBlank="1" showInputMessage="1" showErrorMessage="1" sqref="L37:M37" xr:uid="{436296AC-19A6-4EAB-9E07-95ACD8151DF6}">
      <formula1>STATEGIC_PRIORITY</formula1>
    </dataValidation>
    <dataValidation type="list" allowBlank="1" showInputMessage="1" showErrorMessage="1" sqref="K37:K38" xr:uid="{91B37A6B-26D9-4B30-86D2-A12D98E3C52D}">
      <formula1>TYPE</formula1>
    </dataValidation>
    <dataValidation type="list" allowBlank="1" showInputMessage="1" showErrorMessage="1" sqref="I37:I38" xr:uid="{F22627D6-FF4F-471F-8709-79E9DDABD2DE}">
      <formula1>P_MANDATE</formula1>
    </dataValidation>
    <dataValidation type="list" allowBlank="1" showInputMessage="1" showErrorMessage="1" sqref="P1:P34 P39:P41" xr:uid="{0E38AABF-57F4-4236-8E69-E1A1EE381DE0}">
      <formula1>bus_priority</formula1>
    </dataValidation>
    <dataValidation type="list" allowBlank="1" showInputMessage="1" showErrorMessage="1" sqref="P35:P37" xr:uid="{707AD1F0-C4A2-4AAB-8C93-C1D5EB6FBB9F}">
      <formula1>PRIORITY</formula1>
    </dataValidation>
    <dataValidation type="list" allowBlank="1" showInputMessage="1" showErrorMessage="1" sqref="N35:O37" xr:uid="{8A599F5E-530D-4D24-BCD5-548D46189A81}">
      <formula1>YESNO</formula1>
    </dataValidation>
    <dataValidation type="list" allowBlank="1" showInputMessage="1" showErrorMessage="1" sqref="J1:J1048576" xr:uid="{3C53C9EC-A096-4056-9E1A-DDC854B36AB0}">
      <formula1>CATEGORY</formula1>
    </dataValidation>
    <dataValidation type="list" allowBlank="1" showInputMessage="1" showErrorMessage="1" sqref="Q1:Q37 Q39:Q1048576" xr:uid="{0613598C-97E9-4696-B40D-E91134AF406C}">
      <formula1>EFFORT</formula1>
    </dataValidation>
    <dataValidation type="list" allowBlank="1" showInputMessage="1" showErrorMessage="1" sqref="V1:V1048576" xr:uid="{D718E0BE-2016-46C5-8089-F31DC5AF16FE}">
      <formula1>DEADLINE_TYPE</formula1>
    </dataValidation>
  </dataValidations>
  <hyperlinks>
    <hyperlink ref="E11" r:id="rId1" xr:uid="{D84D449E-2A1F-4297-A218-1581CCCD7542}"/>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D0995-D463-452F-AE64-B1319FB1C2AC}">
  <sheetPr codeName="Sheet2">
    <tabColor theme="2" tint="-9.9978637043366805E-2"/>
  </sheetPr>
  <dimension ref="A1:V15"/>
  <sheetViews>
    <sheetView workbookViewId="0">
      <selection activeCell="A6" sqref="A6"/>
    </sheetView>
  </sheetViews>
  <sheetFormatPr defaultRowHeight="15" x14ac:dyDescent="0.25"/>
  <cols>
    <col min="1" max="1" width="17.5703125" bestFit="1" customWidth="1"/>
    <col min="2" max="2" width="65" customWidth="1"/>
    <col min="3" max="3" width="1.42578125" customWidth="1"/>
    <col min="4" max="4" width="31.28515625" bestFit="1" customWidth="1"/>
    <col min="5" max="5" width="54.28515625" bestFit="1" customWidth="1"/>
    <col min="6" max="6" width="1.42578125" customWidth="1"/>
    <col min="7" max="7" width="21.7109375" bestFit="1" customWidth="1"/>
    <col min="8" max="8" width="49.5703125" style="1" customWidth="1"/>
    <col min="9" max="9" width="1.42578125" customWidth="1"/>
    <col min="10" max="10" width="57" bestFit="1" customWidth="1"/>
    <col min="11" max="11" width="1.5703125" customWidth="1"/>
    <col min="12" max="12" width="40.5703125" bestFit="1" customWidth="1"/>
    <col min="13" max="13" width="1.140625" customWidth="1"/>
    <col min="14" max="14" width="14.5703125" bestFit="1" customWidth="1"/>
    <col min="15" max="15" width="62.85546875" style="1" customWidth="1"/>
    <col min="16" max="16" width="2" customWidth="1"/>
    <col min="17" max="17" width="42.42578125" customWidth="1"/>
    <col min="18" max="18" width="1.7109375" customWidth="1"/>
    <col min="20" max="20" width="1.5703125" customWidth="1"/>
    <col min="21" max="21" width="8.42578125" bestFit="1" customWidth="1"/>
    <col min="22" max="22" width="22" bestFit="1" customWidth="1"/>
  </cols>
  <sheetData>
    <row r="1" spans="1:22" x14ac:dyDescent="0.25">
      <c r="A1" s="7" t="s">
        <v>26</v>
      </c>
      <c r="B1" s="7" t="s">
        <v>1404</v>
      </c>
      <c r="D1" s="7" t="s">
        <v>1405</v>
      </c>
      <c r="E1" s="7" t="s">
        <v>3</v>
      </c>
      <c r="G1" s="7" t="s">
        <v>1406</v>
      </c>
      <c r="H1" s="13" t="s">
        <v>3</v>
      </c>
      <c r="J1" s="8" t="s">
        <v>1342</v>
      </c>
      <c r="L1" s="10" t="s">
        <v>1407</v>
      </c>
      <c r="N1" s="10" t="s">
        <v>10</v>
      </c>
      <c r="O1" s="11" t="s">
        <v>1408</v>
      </c>
      <c r="Q1" s="12" t="s">
        <v>11</v>
      </c>
      <c r="S1" s="6" t="s">
        <v>1409</v>
      </c>
      <c r="U1" s="8" t="s">
        <v>1410</v>
      </c>
      <c r="V1" s="8" t="s">
        <v>1411</v>
      </c>
    </row>
    <row r="2" spans="1:22" ht="45" x14ac:dyDescent="0.25">
      <c r="A2" s="5" t="s">
        <v>671</v>
      </c>
      <c r="B2" s="5" t="s">
        <v>1412</v>
      </c>
      <c r="D2" s="5" t="s">
        <v>74</v>
      </c>
      <c r="E2" s="5"/>
      <c r="G2" s="5" t="s">
        <v>43</v>
      </c>
      <c r="H2" s="9" t="s">
        <v>1413</v>
      </c>
      <c r="J2" s="5" t="s">
        <v>35</v>
      </c>
      <c r="L2" s="5" t="s">
        <v>95</v>
      </c>
      <c r="N2" s="5" t="s">
        <v>56</v>
      </c>
      <c r="O2" s="9" t="s">
        <v>1414</v>
      </c>
      <c r="Q2" s="5" t="s">
        <v>274</v>
      </c>
      <c r="S2" s="5" t="s">
        <v>40</v>
      </c>
      <c r="U2" s="5" t="s">
        <v>105</v>
      </c>
      <c r="V2" s="5" t="s">
        <v>301</v>
      </c>
    </row>
    <row r="3" spans="1:22" ht="45" x14ac:dyDescent="0.25">
      <c r="A3" s="5" t="s">
        <v>389</v>
      </c>
      <c r="B3" s="5" t="s">
        <v>1415</v>
      </c>
      <c r="D3" s="5" t="s">
        <v>245</v>
      </c>
      <c r="E3" s="5" t="s">
        <v>1416</v>
      </c>
      <c r="G3" s="5" t="s">
        <v>84</v>
      </c>
      <c r="H3" s="9" t="s">
        <v>1417</v>
      </c>
      <c r="J3" s="5" t="s">
        <v>103</v>
      </c>
      <c r="L3" s="5" t="s">
        <v>70</v>
      </c>
      <c r="N3" s="5" t="s">
        <v>83</v>
      </c>
      <c r="O3" s="9" t="s">
        <v>1418</v>
      </c>
      <c r="Q3" s="5" t="s">
        <v>113</v>
      </c>
      <c r="S3" s="5" t="s">
        <v>39</v>
      </c>
      <c r="U3" s="5" t="s">
        <v>41</v>
      </c>
      <c r="V3" s="5" t="s">
        <v>58</v>
      </c>
    </row>
    <row r="4" spans="1:22" ht="60" x14ac:dyDescent="0.25">
      <c r="A4" s="5" t="s">
        <v>709</v>
      </c>
      <c r="B4" s="5" t="s">
        <v>1419</v>
      </c>
      <c r="D4" s="5" t="s">
        <v>62</v>
      </c>
      <c r="E4" s="5" t="s">
        <v>1420</v>
      </c>
      <c r="G4" s="5" t="s">
        <v>59</v>
      </c>
      <c r="H4" s="9" t="s">
        <v>1421</v>
      </c>
      <c r="J4" s="5" t="s">
        <v>536</v>
      </c>
      <c r="L4" s="5" t="s">
        <v>284</v>
      </c>
      <c r="N4" s="5" t="s">
        <v>37</v>
      </c>
      <c r="O4" s="9" t="s">
        <v>1422</v>
      </c>
      <c r="Q4" s="5" t="s">
        <v>224</v>
      </c>
      <c r="U4" s="5" t="s">
        <v>57</v>
      </c>
      <c r="V4" s="5" t="s">
        <v>57</v>
      </c>
    </row>
    <row r="5" spans="1:22" ht="30" x14ac:dyDescent="0.25">
      <c r="A5" s="5" t="s">
        <v>1119</v>
      </c>
      <c r="B5" s="5" t="s">
        <v>1423</v>
      </c>
      <c r="D5" s="5" t="s">
        <v>1424</v>
      </c>
      <c r="E5" s="5" t="s">
        <v>1425</v>
      </c>
      <c r="G5" s="5" t="s">
        <v>96</v>
      </c>
      <c r="H5" s="9" t="s">
        <v>1426</v>
      </c>
      <c r="J5" s="5" t="s">
        <v>487</v>
      </c>
      <c r="L5" s="5" t="s">
        <v>200</v>
      </c>
      <c r="Q5" s="5" t="s">
        <v>104</v>
      </c>
      <c r="U5" s="5" t="s">
        <v>300</v>
      </c>
      <c r="V5" s="5" t="s">
        <v>42</v>
      </c>
    </row>
    <row r="6" spans="1:22" ht="45" x14ac:dyDescent="0.25">
      <c r="A6" s="5" t="s">
        <v>73</v>
      </c>
      <c r="B6" s="5" t="s">
        <v>1427</v>
      </c>
      <c r="D6" s="5" t="s">
        <v>295</v>
      </c>
      <c r="E6" s="5" t="s">
        <v>1428</v>
      </c>
      <c r="G6" s="5" t="s">
        <v>285</v>
      </c>
      <c r="H6" s="9" t="s">
        <v>1429</v>
      </c>
      <c r="J6" s="5" t="s">
        <v>551</v>
      </c>
      <c r="L6" s="5" t="s">
        <v>144</v>
      </c>
      <c r="Q6" s="5" t="s">
        <v>537</v>
      </c>
      <c r="U6" s="5" t="s">
        <v>448</v>
      </c>
      <c r="V6" s="5" t="s">
        <v>344</v>
      </c>
    </row>
    <row r="7" spans="1:22" x14ac:dyDescent="0.25">
      <c r="A7" s="5" t="s">
        <v>288</v>
      </c>
      <c r="B7" s="5" t="s">
        <v>1430</v>
      </c>
      <c r="D7" s="5" t="s">
        <v>657</v>
      </c>
      <c r="E7" s="5" t="s">
        <v>1428</v>
      </c>
      <c r="J7" s="5" t="s">
        <v>137</v>
      </c>
      <c r="L7" s="5" t="s">
        <v>36</v>
      </c>
      <c r="Q7" s="5" t="s">
        <v>1093</v>
      </c>
    </row>
    <row r="8" spans="1:22" x14ac:dyDescent="0.25">
      <c r="A8" s="5" t="s">
        <v>308</v>
      </c>
      <c r="B8" s="5" t="s">
        <v>1431</v>
      </c>
      <c r="D8" s="5" t="s">
        <v>303</v>
      </c>
      <c r="E8" s="5" t="s">
        <v>1428</v>
      </c>
      <c r="J8" s="5" t="s">
        <v>82</v>
      </c>
      <c r="L8" s="5" t="s">
        <v>488</v>
      </c>
      <c r="Q8" s="5" t="s">
        <v>71</v>
      </c>
    </row>
    <row r="9" spans="1:22" x14ac:dyDescent="0.25">
      <c r="A9" s="5" t="s">
        <v>45</v>
      </c>
      <c r="B9" s="5" t="s">
        <v>1432</v>
      </c>
      <c r="D9" s="5" t="s">
        <v>1433</v>
      </c>
      <c r="E9" s="5" t="s">
        <v>1428</v>
      </c>
      <c r="J9" s="5" t="s">
        <v>69</v>
      </c>
      <c r="L9" s="5" t="s">
        <v>431</v>
      </c>
      <c r="Q9" s="5" t="s">
        <v>1113</v>
      </c>
    </row>
    <row r="10" spans="1:22" x14ac:dyDescent="0.25">
      <c r="A10" s="125"/>
      <c r="B10" s="125"/>
      <c r="D10" s="5" t="s">
        <v>1434</v>
      </c>
      <c r="E10" s="5" t="s">
        <v>1428</v>
      </c>
      <c r="J10" s="5" t="s">
        <v>584</v>
      </c>
      <c r="L10" s="5" t="s">
        <v>138</v>
      </c>
      <c r="Q10" s="5" t="s">
        <v>724</v>
      </c>
    </row>
    <row r="11" spans="1:22" x14ac:dyDescent="0.25">
      <c r="D11" s="5" t="s">
        <v>483</v>
      </c>
      <c r="E11" s="5" t="s">
        <v>1428</v>
      </c>
      <c r="J11" s="5" t="s">
        <v>94</v>
      </c>
      <c r="L11" s="5" t="s">
        <v>55</v>
      </c>
    </row>
    <row r="12" spans="1:22" x14ac:dyDescent="0.25">
      <c r="D12" s="5" t="s">
        <v>289</v>
      </c>
      <c r="E12" s="5" t="s">
        <v>1428</v>
      </c>
      <c r="J12" s="5" t="s">
        <v>121</v>
      </c>
    </row>
    <row r="13" spans="1:22" x14ac:dyDescent="0.25">
      <c r="D13" s="5" t="s">
        <v>514</v>
      </c>
      <c r="E13" s="5" t="s">
        <v>1435</v>
      </c>
      <c r="J13" s="5" t="s">
        <v>54</v>
      </c>
    </row>
    <row r="14" spans="1:22" x14ac:dyDescent="0.25">
      <c r="J14" s="5" t="s">
        <v>185</v>
      </c>
    </row>
    <row r="15" spans="1:22" x14ac:dyDescent="0.25">
      <c r="J15" s="5" t="s">
        <v>299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678A0-230B-4990-B263-965E95A03022}">
  <sheetPr codeName="Sheet4" filterMode="1">
    <tabColor theme="9" tint="0.79998168889431442"/>
  </sheetPr>
  <dimension ref="A1:AD67"/>
  <sheetViews>
    <sheetView workbookViewId="0">
      <pane ySplit="1" topLeftCell="A61" activePane="bottomLeft" state="frozen"/>
      <selection activeCell="I1" sqref="I1"/>
      <selection pane="bottomLeft" activeCell="A61" sqref="A61"/>
    </sheetView>
  </sheetViews>
  <sheetFormatPr defaultRowHeight="15" x14ac:dyDescent="0.25"/>
  <cols>
    <col min="1" max="1" width="9.140625" style="111"/>
    <col min="18" max="18" width="10.7109375" style="3" bestFit="1" customWidth="1"/>
    <col min="19" max="20" width="10.7109375" bestFit="1" customWidth="1"/>
    <col min="23" max="23" width="119.28515625" style="3" customWidth="1"/>
    <col min="24" max="24" width="10.7109375" style="3" bestFit="1" customWidth="1"/>
  </cols>
  <sheetData>
    <row r="1" spans="1:29" s="118" customFormat="1" ht="90" x14ac:dyDescent="0.25">
      <c r="A1" s="112" t="s">
        <v>0</v>
      </c>
      <c r="B1" s="113" t="s">
        <v>1</v>
      </c>
      <c r="C1" s="113" t="s">
        <v>2</v>
      </c>
      <c r="D1" s="113" t="s">
        <v>3</v>
      </c>
      <c r="E1" s="113" t="s">
        <v>4</v>
      </c>
      <c r="F1" s="113" t="s">
        <v>5</v>
      </c>
      <c r="G1" s="113" t="s">
        <v>6</v>
      </c>
      <c r="H1" s="113" t="s">
        <v>7</v>
      </c>
      <c r="I1" s="113" t="s">
        <v>8</v>
      </c>
      <c r="J1" s="113" t="s">
        <v>9</v>
      </c>
      <c r="K1" s="113" t="s">
        <v>10</v>
      </c>
      <c r="L1" s="113" t="s">
        <v>11</v>
      </c>
      <c r="M1" s="113" t="s">
        <v>12</v>
      </c>
      <c r="N1" s="113" t="s">
        <v>13</v>
      </c>
      <c r="O1" s="113" t="s">
        <v>14</v>
      </c>
      <c r="P1" s="113" t="s">
        <v>15</v>
      </c>
      <c r="Q1" s="113" t="s">
        <v>16</v>
      </c>
      <c r="R1" s="114" t="s">
        <v>17</v>
      </c>
      <c r="S1" s="114" t="s">
        <v>18</v>
      </c>
      <c r="T1" s="114" t="s">
        <v>19</v>
      </c>
      <c r="U1" s="114" t="s">
        <v>20</v>
      </c>
      <c r="V1" s="115" t="s">
        <v>21</v>
      </c>
      <c r="W1" s="128" t="s">
        <v>22</v>
      </c>
      <c r="X1" s="116" t="s">
        <v>23</v>
      </c>
      <c r="Y1" s="116" t="s">
        <v>24</v>
      </c>
      <c r="Z1" s="116" t="s">
        <v>25</v>
      </c>
      <c r="AA1" s="116" t="s">
        <v>26</v>
      </c>
      <c r="AB1" s="116" t="s">
        <v>27</v>
      </c>
      <c r="AC1" s="117" t="s">
        <v>28</v>
      </c>
    </row>
    <row r="2" spans="1:29" x14ac:dyDescent="0.25">
      <c r="A2" s="111" t="s">
        <v>159</v>
      </c>
      <c r="B2" t="s">
        <v>132</v>
      </c>
      <c r="C2" t="s">
        <v>160</v>
      </c>
      <c r="E2" t="s">
        <v>161</v>
      </c>
      <c r="F2" t="s">
        <v>155</v>
      </c>
      <c r="G2" t="s">
        <v>162</v>
      </c>
      <c r="J2" t="s">
        <v>95</v>
      </c>
      <c r="N2" t="s">
        <v>39</v>
      </c>
      <c r="P2" t="s">
        <v>41</v>
      </c>
      <c r="Q2" t="s">
        <v>57</v>
      </c>
      <c r="R2" s="3">
        <v>45359</v>
      </c>
      <c r="S2" s="3">
        <v>45535</v>
      </c>
      <c r="T2" s="3">
        <v>45535</v>
      </c>
      <c r="W2" t="s">
        <v>163</v>
      </c>
      <c r="X2" t="s">
        <v>164</v>
      </c>
      <c r="Y2" s="3">
        <v>45506</v>
      </c>
      <c r="Z2" s="3"/>
      <c r="AA2" t="s">
        <v>45</v>
      </c>
    </row>
    <row r="3" spans="1:29" ht="270" hidden="1" x14ac:dyDescent="0.25">
      <c r="A3" s="111">
        <v>19</v>
      </c>
      <c r="B3" t="s">
        <v>1436</v>
      </c>
      <c r="E3" t="s">
        <v>1437</v>
      </c>
      <c r="F3" t="s">
        <v>1438</v>
      </c>
      <c r="G3" t="s">
        <v>1439</v>
      </c>
      <c r="I3" t="s">
        <v>185</v>
      </c>
      <c r="J3" t="s">
        <v>200</v>
      </c>
      <c r="N3" t="s">
        <v>39</v>
      </c>
      <c r="P3" t="s">
        <v>300</v>
      </c>
      <c r="Q3" t="s">
        <v>42</v>
      </c>
      <c r="R3" s="3">
        <v>45156</v>
      </c>
      <c r="T3" s="3"/>
      <c r="W3" s="1" t="s">
        <v>1440</v>
      </c>
      <c r="X3" t="s">
        <v>1441</v>
      </c>
      <c r="Y3" s="3">
        <v>45517</v>
      </c>
      <c r="Z3" s="3">
        <v>45520</v>
      </c>
      <c r="AA3" t="s">
        <v>45</v>
      </c>
    </row>
    <row r="4" spans="1:29" ht="240" x14ac:dyDescent="0.25">
      <c r="A4" s="111" t="s">
        <v>165</v>
      </c>
      <c r="B4" t="s">
        <v>166</v>
      </c>
      <c r="C4" t="s">
        <v>167</v>
      </c>
      <c r="E4" t="s">
        <v>168</v>
      </c>
      <c r="F4" t="s">
        <v>169</v>
      </c>
      <c r="G4" t="s">
        <v>143</v>
      </c>
      <c r="I4" t="s">
        <v>54</v>
      </c>
      <c r="J4" t="s">
        <v>70</v>
      </c>
      <c r="L4" t="s">
        <v>71</v>
      </c>
      <c r="N4" t="s">
        <v>39</v>
      </c>
      <c r="O4" t="s">
        <v>40</v>
      </c>
      <c r="P4" t="s">
        <v>41</v>
      </c>
      <c r="Q4" t="s">
        <v>57</v>
      </c>
      <c r="R4" s="3">
        <v>45275</v>
      </c>
      <c r="S4" s="3">
        <v>45492</v>
      </c>
      <c r="T4" s="3"/>
      <c r="W4" s="1" t="s">
        <v>170</v>
      </c>
      <c r="X4" t="s">
        <v>171</v>
      </c>
      <c r="Y4" s="3">
        <v>45492</v>
      </c>
      <c r="Z4" s="3">
        <v>45516</v>
      </c>
      <c r="AA4" t="s">
        <v>45</v>
      </c>
    </row>
    <row r="5" spans="1:29" ht="180" hidden="1" x14ac:dyDescent="0.25">
      <c r="A5" s="111">
        <v>35</v>
      </c>
      <c r="B5" t="s">
        <v>1442</v>
      </c>
      <c r="C5" t="s">
        <v>1443</v>
      </c>
      <c r="E5" t="s">
        <v>1444</v>
      </c>
      <c r="F5" t="s">
        <v>240</v>
      </c>
      <c r="I5" t="s">
        <v>94</v>
      </c>
      <c r="J5" t="s">
        <v>95</v>
      </c>
      <c r="L5" t="s">
        <v>224</v>
      </c>
      <c r="N5" t="s">
        <v>40</v>
      </c>
      <c r="P5" t="s">
        <v>41</v>
      </c>
      <c r="Q5" t="s">
        <v>42</v>
      </c>
      <c r="R5" s="3">
        <v>45104</v>
      </c>
      <c r="T5" s="3"/>
      <c r="W5" s="1" t="s">
        <v>1445</v>
      </c>
      <c r="X5" t="s">
        <v>1446</v>
      </c>
      <c r="Y5" s="3">
        <v>45478</v>
      </c>
      <c r="Z5" s="3">
        <v>45524</v>
      </c>
      <c r="AA5" t="s">
        <v>45</v>
      </c>
    </row>
    <row r="6" spans="1:29" hidden="1" x14ac:dyDescent="0.25">
      <c r="A6" s="111">
        <v>10</v>
      </c>
      <c r="B6" t="s">
        <v>1447</v>
      </c>
      <c r="C6" t="s">
        <v>1448</v>
      </c>
      <c r="E6" t="s">
        <v>1449</v>
      </c>
      <c r="F6" t="s">
        <v>176</v>
      </c>
      <c r="G6" t="s">
        <v>177</v>
      </c>
      <c r="I6" t="s">
        <v>35</v>
      </c>
      <c r="J6" t="s">
        <v>144</v>
      </c>
      <c r="N6" t="s">
        <v>39</v>
      </c>
      <c r="P6" t="s">
        <v>105</v>
      </c>
      <c r="Q6" t="s">
        <v>42</v>
      </c>
      <c r="R6"/>
      <c r="T6" s="3">
        <v>44835</v>
      </c>
      <c r="W6"/>
      <c r="X6"/>
      <c r="Y6" s="3"/>
      <c r="Z6" s="3"/>
      <c r="AA6" t="s">
        <v>45</v>
      </c>
    </row>
    <row r="7" spans="1:29" hidden="1" x14ac:dyDescent="0.25">
      <c r="A7" s="111">
        <v>63</v>
      </c>
      <c r="B7" t="s">
        <v>1450</v>
      </c>
      <c r="C7" t="s">
        <v>1451</v>
      </c>
      <c r="E7" t="s">
        <v>1452</v>
      </c>
      <c r="F7" t="s">
        <v>1453</v>
      </c>
      <c r="G7" t="s">
        <v>1227</v>
      </c>
      <c r="I7" t="s">
        <v>94</v>
      </c>
      <c r="J7" t="s">
        <v>36</v>
      </c>
      <c r="N7" t="s">
        <v>39</v>
      </c>
      <c r="O7" t="s">
        <v>40</v>
      </c>
      <c r="P7" t="s">
        <v>41</v>
      </c>
      <c r="Q7" t="s">
        <v>42</v>
      </c>
      <c r="R7"/>
      <c r="T7" s="3"/>
      <c r="W7" t="s">
        <v>1454</v>
      </c>
      <c r="X7"/>
      <c r="Y7" s="3"/>
      <c r="Z7" s="3"/>
      <c r="AA7" t="s">
        <v>45</v>
      </c>
    </row>
    <row r="8" spans="1:29" hidden="1" x14ac:dyDescent="0.25">
      <c r="A8" s="111" t="s">
        <v>1455</v>
      </c>
      <c r="B8" t="s">
        <v>219</v>
      </c>
      <c r="C8" t="s">
        <v>1456</v>
      </c>
      <c r="E8" t="s">
        <v>1457</v>
      </c>
      <c r="F8" t="s">
        <v>142</v>
      </c>
      <c r="G8" t="s">
        <v>1458</v>
      </c>
      <c r="I8" t="s">
        <v>536</v>
      </c>
      <c r="J8" t="s">
        <v>144</v>
      </c>
      <c r="L8" t="s">
        <v>537</v>
      </c>
      <c r="N8" t="s">
        <v>39</v>
      </c>
      <c r="O8" t="s">
        <v>40</v>
      </c>
      <c r="P8" t="s">
        <v>105</v>
      </c>
      <c r="Q8" t="s">
        <v>42</v>
      </c>
      <c r="R8"/>
      <c r="T8" s="3"/>
      <c r="W8" t="s">
        <v>1459</v>
      </c>
      <c r="X8" t="s">
        <v>1460</v>
      </c>
      <c r="Y8" s="3">
        <v>45478</v>
      </c>
      <c r="Z8" s="3">
        <v>45527</v>
      </c>
      <c r="AA8" t="s">
        <v>45</v>
      </c>
    </row>
    <row r="9" spans="1:29" hidden="1" x14ac:dyDescent="0.25">
      <c r="A9" s="111" t="s">
        <v>1461</v>
      </c>
      <c r="B9" t="s">
        <v>132</v>
      </c>
      <c r="C9" t="s">
        <v>1462</v>
      </c>
      <c r="F9" t="s">
        <v>355</v>
      </c>
      <c r="G9" t="s">
        <v>1463</v>
      </c>
      <c r="I9" t="s">
        <v>94</v>
      </c>
      <c r="J9" t="s">
        <v>95</v>
      </c>
      <c r="N9" t="s">
        <v>40</v>
      </c>
      <c r="P9" t="s">
        <v>41</v>
      </c>
      <c r="Q9" t="s">
        <v>42</v>
      </c>
      <c r="R9"/>
      <c r="T9" s="3"/>
      <c r="W9" t="s">
        <v>1464</v>
      </c>
      <c r="X9"/>
      <c r="Y9" s="3"/>
      <c r="Z9" s="3">
        <v>45231</v>
      </c>
      <c r="AA9" t="s">
        <v>45</v>
      </c>
    </row>
    <row r="10" spans="1:29" hidden="1" x14ac:dyDescent="0.25">
      <c r="A10" s="111" t="s">
        <v>1465</v>
      </c>
      <c r="B10" t="s">
        <v>132</v>
      </c>
      <c r="C10" t="s">
        <v>1466</v>
      </c>
      <c r="F10" t="s">
        <v>355</v>
      </c>
      <c r="G10" t="s">
        <v>1463</v>
      </c>
      <c r="I10" t="s">
        <v>94</v>
      </c>
      <c r="J10" t="s">
        <v>95</v>
      </c>
      <c r="N10" t="s">
        <v>40</v>
      </c>
      <c r="P10" t="s">
        <v>41</v>
      </c>
      <c r="Q10" t="s">
        <v>42</v>
      </c>
      <c r="R10"/>
      <c r="T10" s="3"/>
      <c r="W10" t="s">
        <v>1467</v>
      </c>
      <c r="X10"/>
      <c r="Y10" s="3"/>
      <c r="Z10" s="3">
        <v>45231</v>
      </c>
      <c r="AA10" t="s">
        <v>45</v>
      </c>
    </row>
    <row r="11" spans="1:29" hidden="1" x14ac:dyDescent="0.25">
      <c r="A11" s="111" t="s">
        <v>1468</v>
      </c>
      <c r="B11" t="s">
        <v>132</v>
      </c>
      <c r="C11" t="s">
        <v>1469</v>
      </c>
      <c r="E11" t="s">
        <v>1470</v>
      </c>
      <c r="F11" t="s">
        <v>355</v>
      </c>
      <c r="G11" t="s">
        <v>828</v>
      </c>
      <c r="I11" t="s">
        <v>94</v>
      </c>
      <c r="J11" t="s">
        <v>95</v>
      </c>
      <c r="N11" t="s">
        <v>40</v>
      </c>
      <c r="P11" t="s">
        <v>41</v>
      </c>
      <c r="Q11" t="s">
        <v>42</v>
      </c>
      <c r="R11"/>
      <c r="T11" s="3"/>
      <c r="W11" t="s">
        <v>1471</v>
      </c>
      <c r="X11"/>
      <c r="Y11" s="3"/>
      <c r="Z11" s="3">
        <v>45231</v>
      </c>
      <c r="AA11" t="s">
        <v>45</v>
      </c>
    </row>
    <row r="12" spans="1:29" hidden="1" x14ac:dyDescent="0.25">
      <c r="A12" s="111" t="s">
        <v>1472</v>
      </c>
      <c r="B12" t="s">
        <v>132</v>
      </c>
      <c r="C12" t="s">
        <v>1473</v>
      </c>
      <c r="F12" t="s">
        <v>355</v>
      </c>
      <c r="G12" t="s">
        <v>1474</v>
      </c>
      <c r="I12" t="s">
        <v>94</v>
      </c>
      <c r="J12" t="s">
        <v>95</v>
      </c>
      <c r="N12" t="s">
        <v>40</v>
      </c>
      <c r="P12" t="s">
        <v>41</v>
      </c>
      <c r="Q12" t="s">
        <v>42</v>
      </c>
      <c r="R12"/>
      <c r="T12" s="3">
        <v>45231</v>
      </c>
      <c r="W12" t="s">
        <v>1475</v>
      </c>
      <c r="X12"/>
      <c r="Y12" s="3"/>
      <c r="Z12" s="3"/>
      <c r="AA12" t="s">
        <v>45</v>
      </c>
    </row>
    <row r="13" spans="1:29" hidden="1" x14ac:dyDescent="0.25">
      <c r="A13" s="111" t="s">
        <v>1476</v>
      </c>
      <c r="B13" t="s">
        <v>132</v>
      </c>
      <c r="C13" t="s">
        <v>1477</v>
      </c>
      <c r="F13" t="s">
        <v>240</v>
      </c>
      <c r="G13" t="s">
        <v>1463</v>
      </c>
      <c r="J13" t="s">
        <v>95</v>
      </c>
      <c r="P13" t="s">
        <v>41</v>
      </c>
      <c r="Q13" t="s">
        <v>58</v>
      </c>
      <c r="R13"/>
      <c r="T13" s="3"/>
      <c r="W13" t="s">
        <v>1478</v>
      </c>
      <c r="X13" t="s">
        <v>1479</v>
      </c>
      <c r="Y13" s="3">
        <v>45359</v>
      </c>
      <c r="Z13" s="3">
        <v>45382</v>
      </c>
      <c r="AA13" t="s">
        <v>45</v>
      </c>
    </row>
    <row r="14" spans="1:29" hidden="1" x14ac:dyDescent="0.25">
      <c r="A14" s="111">
        <v>17</v>
      </c>
      <c r="B14" t="s">
        <v>1480</v>
      </c>
      <c r="F14" t="s">
        <v>240</v>
      </c>
      <c r="G14" t="s">
        <v>1458</v>
      </c>
      <c r="I14" t="s">
        <v>54</v>
      </c>
      <c r="J14" t="s">
        <v>70</v>
      </c>
      <c r="N14" t="s">
        <v>39</v>
      </c>
      <c r="P14" t="s">
        <v>41</v>
      </c>
      <c r="Q14" t="s">
        <v>42</v>
      </c>
      <c r="R14"/>
      <c r="T14" s="3"/>
      <c r="W14" t="s">
        <v>1481</v>
      </c>
      <c r="X14"/>
      <c r="Y14" s="3"/>
      <c r="Z14" s="3">
        <v>45100</v>
      </c>
      <c r="AA14" t="s">
        <v>45</v>
      </c>
    </row>
    <row r="15" spans="1:29" hidden="1" x14ac:dyDescent="0.25">
      <c r="A15" s="111" t="s">
        <v>1482</v>
      </c>
      <c r="B15" t="s">
        <v>278</v>
      </c>
      <c r="C15" t="s">
        <v>1483</v>
      </c>
      <c r="E15" t="s">
        <v>1484</v>
      </c>
      <c r="F15" t="s">
        <v>240</v>
      </c>
      <c r="G15" t="s">
        <v>1227</v>
      </c>
      <c r="I15" t="s">
        <v>185</v>
      </c>
      <c r="J15" t="s">
        <v>200</v>
      </c>
      <c r="N15" t="s">
        <v>39</v>
      </c>
      <c r="P15" t="s">
        <v>448</v>
      </c>
      <c r="Q15" t="s">
        <v>344</v>
      </c>
      <c r="R15"/>
      <c r="T15" s="3"/>
      <c r="W15" t="s">
        <v>1485</v>
      </c>
      <c r="X15"/>
      <c r="Y15" s="3"/>
      <c r="Z15" s="3">
        <v>45111</v>
      </c>
      <c r="AA15" t="s">
        <v>45</v>
      </c>
    </row>
    <row r="16" spans="1:29" hidden="1" x14ac:dyDescent="0.25">
      <c r="A16" s="111" t="s">
        <v>1486</v>
      </c>
      <c r="B16" t="s">
        <v>278</v>
      </c>
      <c r="C16" t="s">
        <v>1487</v>
      </c>
      <c r="E16" t="s">
        <v>1484</v>
      </c>
      <c r="F16" t="s">
        <v>240</v>
      </c>
      <c r="G16" t="s">
        <v>1463</v>
      </c>
      <c r="I16" t="s">
        <v>185</v>
      </c>
      <c r="J16" t="s">
        <v>200</v>
      </c>
      <c r="N16" t="s">
        <v>39</v>
      </c>
      <c r="P16" t="s">
        <v>57</v>
      </c>
      <c r="Q16" t="s">
        <v>344</v>
      </c>
      <c r="R16"/>
      <c r="T16" s="3"/>
      <c r="W16" t="s">
        <v>1488</v>
      </c>
      <c r="X16"/>
      <c r="Y16" s="3"/>
      <c r="Z16" s="3">
        <v>45260</v>
      </c>
      <c r="AA16" t="s">
        <v>45</v>
      </c>
    </row>
    <row r="17" spans="1:27" hidden="1" x14ac:dyDescent="0.25">
      <c r="A17" s="111" t="s">
        <v>1489</v>
      </c>
      <c r="B17" t="s">
        <v>291</v>
      </c>
      <c r="C17" t="s">
        <v>1490</v>
      </c>
      <c r="E17" t="s">
        <v>1491</v>
      </c>
      <c r="F17" t="s">
        <v>1492</v>
      </c>
      <c r="G17" t="s">
        <v>828</v>
      </c>
      <c r="I17" t="s">
        <v>54</v>
      </c>
      <c r="J17" t="s">
        <v>138</v>
      </c>
      <c r="N17" t="s">
        <v>39</v>
      </c>
      <c r="P17" t="s">
        <v>41</v>
      </c>
      <c r="Q17" t="s">
        <v>42</v>
      </c>
      <c r="R17"/>
      <c r="T17" s="3"/>
      <c r="W17" t="s">
        <v>1493</v>
      </c>
      <c r="X17"/>
      <c r="Y17" s="3"/>
      <c r="Z17" s="3">
        <v>45169</v>
      </c>
      <c r="AA17" t="s">
        <v>45</v>
      </c>
    </row>
    <row r="18" spans="1:27" hidden="1" x14ac:dyDescent="0.25">
      <c r="A18" s="111" t="s">
        <v>1494</v>
      </c>
      <c r="B18" t="s">
        <v>291</v>
      </c>
      <c r="C18" t="s">
        <v>1495</v>
      </c>
      <c r="E18" t="s">
        <v>1496</v>
      </c>
      <c r="F18" t="s">
        <v>119</v>
      </c>
      <c r="G18" t="s">
        <v>828</v>
      </c>
      <c r="I18" t="s">
        <v>185</v>
      </c>
      <c r="J18" t="s">
        <v>200</v>
      </c>
      <c r="N18" t="s">
        <v>39</v>
      </c>
      <c r="P18" t="s">
        <v>57</v>
      </c>
      <c r="Q18" t="s">
        <v>57</v>
      </c>
      <c r="R18"/>
      <c r="T18" s="3"/>
      <c r="W18" t="s">
        <v>1497</v>
      </c>
      <c r="X18"/>
      <c r="Y18" s="3"/>
      <c r="Z18" s="3"/>
      <c r="AA18" t="s">
        <v>45</v>
      </c>
    </row>
    <row r="19" spans="1:27" hidden="1" x14ac:dyDescent="0.25">
      <c r="A19" s="111">
        <v>24</v>
      </c>
      <c r="B19" t="s">
        <v>1498</v>
      </c>
      <c r="E19" t="s">
        <v>1499</v>
      </c>
      <c r="F19" t="s">
        <v>240</v>
      </c>
      <c r="G19" t="s">
        <v>1474</v>
      </c>
      <c r="I19" t="s">
        <v>536</v>
      </c>
      <c r="J19" t="s">
        <v>144</v>
      </c>
      <c r="N19" t="s">
        <v>39</v>
      </c>
      <c r="P19" t="s">
        <v>300</v>
      </c>
      <c r="Q19" t="s">
        <v>58</v>
      </c>
      <c r="R19"/>
      <c r="T19" s="3"/>
      <c r="W19" t="s">
        <v>1500</v>
      </c>
      <c r="X19"/>
      <c r="Y19" s="3"/>
      <c r="Z19" s="3">
        <v>45161</v>
      </c>
      <c r="AA19" t="s">
        <v>45</v>
      </c>
    </row>
    <row r="20" spans="1:27" hidden="1" x14ac:dyDescent="0.25">
      <c r="A20" s="111">
        <v>25</v>
      </c>
      <c r="B20" t="s">
        <v>1501</v>
      </c>
      <c r="E20" t="s">
        <v>1502</v>
      </c>
      <c r="F20" t="s">
        <v>240</v>
      </c>
      <c r="G20" t="s">
        <v>1503</v>
      </c>
      <c r="I20" t="s">
        <v>185</v>
      </c>
      <c r="J20" t="s">
        <v>200</v>
      </c>
      <c r="N20" t="s">
        <v>39</v>
      </c>
      <c r="P20" t="s">
        <v>57</v>
      </c>
      <c r="Q20" t="s">
        <v>57</v>
      </c>
      <c r="R20"/>
      <c r="T20" s="3"/>
      <c r="W20" t="s">
        <v>1504</v>
      </c>
      <c r="X20"/>
      <c r="Y20" s="3"/>
      <c r="Z20" s="3">
        <v>45103</v>
      </c>
      <c r="AA20" t="s">
        <v>45</v>
      </c>
    </row>
    <row r="21" spans="1:27" hidden="1" x14ac:dyDescent="0.25">
      <c r="A21" s="111">
        <v>26</v>
      </c>
      <c r="B21" t="s">
        <v>1505</v>
      </c>
      <c r="E21" t="s">
        <v>1506</v>
      </c>
      <c r="F21" t="s">
        <v>441</v>
      </c>
      <c r="G21" t="s">
        <v>1507</v>
      </c>
      <c r="I21" t="s">
        <v>536</v>
      </c>
      <c r="J21" t="s">
        <v>144</v>
      </c>
      <c r="N21" t="s">
        <v>39</v>
      </c>
      <c r="P21" t="s">
        <v>41</v>
      </c>
      <c r="Q21" t="s">
        <v>57</v>
      </c>
      <c r="R21"/>
      <c r="S21" s="3">
        <v>45100</v>
      </c>
      <c r="T21" s="3">
        <v>45108</v>
      </c>
      <c r="W21" t="s">
        <v>1508</v>
      </c>
      <c r="X21"/>
      <c r="Y21" s="3"/>
      <c r="Z21" s="3"/>
      <c r="AA21" t="s">
        <v>45</v>
      </c>
    </row>
    <row r="22" spans="1:27" hidden="1" x14ac:dyDescent="0.25">
      <c r="A22" s="111" t="s">
        <v>1509</v>
      </c>
      <c r="B22" t="s">
        <v>236</v>
      </c>
      <c r="C22" t="s">
        <v>1510</v>
      </c>
      <c r="E22" t="s">
        <v>239</v>
      </c>
      <c r="F22" t="s">
        <v>240</v>
      </c>
      <c r="G22" t="s">
        <v>1511</v>
      </c>
      <c r="I22" t="s">
        <v>185</v>
      </c>
      <c r="J22" t="s">
        <v>200</v>
      </c>
      <c r="N22" t="s">
        <v>39</v>
      </c>
      <c r="P22" t="s">
        <v>57</v>
      </c>
      <c r="Q22" t="s">
        <v>57</v>
      </c>
      <c r="R22"/>
      <c r="T22" s="3"/>
      <c r="W22" t="s">
        <v>1512</v>
      </c>
      <c r="X22"/>
      <c r="Y22" s="3"/>
      <c r="Z22" s="3">
        <v>45139</v>
      </c>
      <c r="AA22" t="s">
        <v>45</v>
      </c>
    </row>
    <row r="23" spans="1:27" hidden="1" x14ac:dyDescent="0.25">
      <c r="A23" s="111" t="s">
        <v>1513</v>
      </c>
      <c r="B23" t="s">
        <v>166</v>
      </c>
      <c r="C23" t="s">
        <v>1514</v>
      </c>
      <c r="G23" t="s">
        <v>162</v>
      </c>
      <c r="I23" t="s">
        <v>54</v>
      </c>
      <c r="J23" t="s">
        <v>70</v>
      </c>
      <c r="P23" t="s">
        <v>41</v>
      </c>
      <c r="Q23" t="s">
        <v>57</v>
      </c>
      <c r="R23" s="3">
        <v>45231</v>
      </c>
      <c r="S23" s="3">
        <v>45275</v>
      </c>
      <c r="T23" s="3"/>
      <c r="W23" t="s">
        <v>1515</v>
      </c>
      <c r="X23"/>
      <c r="Y23" s="3"/>
      <c r="Z23" s="3">
        <v>45322</v>
      </c>
      <c r="AA23" t="s">
        <v>45</v>
      </c>
    </row>
    <row r="24" spans="1:27" hidden="1" x14ac:dyDescent="0.25">
      <c r="A24" s="111">
        <v>30</v>
      </c>
      <c r="B24" t="s">
        <v>1516</v>
      </c>
      <c r="G24" t="s">
        <v>143</v>
      </c>
      <c r="I24" t="s">
        <v>185</v>
      </c>
      <c r="J24" t="s">
        <v>70</v>
      </c>
      <c r="N24" t="s">
        <v>39</v>
      </c>
      <c r="R24" s="3">
        <v>45231</v>
      </c>
      <c r="S24" s="3">
        <v>45275</v>
      </c>
      <c r="T24" s="3"/>
      <c r="W24" t="s">
        <v>1517</v>
      </c>
      <c r="X24"/>
      <c r="Y24" s="3"/>
      <c r="Z24" s="3">
        <v>45322</v>
      </c>
      <c r="AA24" t="s">
        <v>45</v>
      </c>
    </row>
    <row r="25" spans="1:27" hidden="1" x14ac:dyDescent="0.25">
      <c r="A25" s="111" t="s">
        <v>1518</v>
      </c>
      <c r="B25" t="s">
        <v>1519</v>
      </c>
      <c r="C25" t="s">
        <v>1520</v>
      </c>
      <c r="E25" t="s">
        <v>1521</v>
      </c>
      <c r="F25" t="s">
        <v>398</v>
      </c>
      <c r="G25" t="s">
        <v>1522</v>
      </c>
      <c r="I25" t="s">
        <v>121</v>
      </c>
      <c r="J25" t="s">
        <v>70</v>
      </c>
      <c r="N25" t="s">
        <v>40</v>
      </c>
      <c r="P25" t="s">
        <v>41</v>
      </c>
      <c r="Q25" t="s">
        <v>57</v>
      </c>
      <c r="R25"/>
      <c r="T25" s="3"/>
      <c r="W25" t="s">
        <v>1523</v>
      </c>
      <c r="X25"/>
      <c r="Y25" s="3"/>
      <c r="Z25" s="3"/>
      <c r="AA25" t="s">
        <v>45</v>
      </c>
    </row>
    <row r="26" spans="1:27" hidden="1" x14ac:dyDescent="0.25">
      <c r="A26" s="111" t="s">
        <v>1524</v>
      </c>
      <c r="B26" t="s">
        <v>1519</v>
      </c>
      <c r="C26" t="s">
        <v>1525</v>
      </c>
      <c r="E26" t="s">
        <v>1526</v>
      </c>
      <c r="F26" t="s">
        <v>1527</v>
      </c>
      <c r="G26" t="s">
        <v>1528</v>
      </c>
      <c r="I26" t="s">
        <v>121</v>
      </c>
      <c r="J26" t="s">
        <v>70</v>
      </c>
      <c r="N26" t="s">
        <v>40</v>
      </c>
      <c r="P26" t="s">
        <v>41</v>
      </c>
      <c r="Q26" t="s">
        <v>42</v>
      </c>
      <c r="R26"/>
      <c r="T26" s="3"/>
      <c r="W26" t="s">
        <v>1529</v>
      </c>
      <c r="X26" t="s">
        <v>1530</v>
      </c>
      <c r="Y26" s="3">
        <v>45345</v>
      </c>
      <c r="Z26" s="3">
        <v>45250</v>
      </c>
      <c r="AA26" t="s">
        <v>45</v>
      </c>
    </row>
    <row r="27" spans="1:27" hidden="1" x14ac:dyDescent="0.25">
      <c r="A27" s="111">
        <v>34</v>
      </c>
      <c r="B27" t="s">
        <v>1531</v>
      </c>
      <c r="E27" t="s">
        <v>1532</v>
      </c>
      <c r="F27" t="s">
        <v>1533</v>
      </c>
      <c r="G27" t="s">
        <v>1534</v>
      </c>
      <c r="I27" t="s">
        <v>54</v>
      </c>
      <c r="J27" t="s">
        <v>95</v>
      </c>
      <c r="N27" t="s">
        <v>39</v>
      </c>
      <c r="P27" t="s">
        <v>57</v>
      </c>
      <c r="Q27" t="s">
        <v>57</v>
      </c>
      <c r="R27"/>
      <c r="T27" s="3"/>
      <c r="W27" t="s">
        <v>1535</v>
      </c>
      <c r="X27"/>
      <c r="Y27" s="3"/>
      <c r="Z27" s="3">
        <v>45201</v>
      </c>
      <c r="AA27" t="s">
        <v>45</v>
      </c>
    </row>
    <row r="28" spans="1:27" ht="75" hidden="1" x14ac:dyDescent="0.25">
      <c r="A28" s="111">
        <v>37</v>
      </c>
      <c r="B28" t="s">
        <v>1536</v>
      </c>
      <c r="E28" t="s">
        <v>1537</v>
      </c>
      <c r="F28" t="s">
        <v>240</v>
      </c>
      <c r="G28" t="s">
        <v>1227</v>
      </c>
      <c r="I28" t="s">
        <v>94</v>
      </c>
      <c r="J28" t="s">
        <v>95</v>
      </c>
      <c r="N28" t="s">
        <v>39</v>
      </c>
      <c r="P28" t="s">
        <v>300</v>
      </c>
      <c r="Q28" t="s">
        <v>301</v>
      </c>
      <c r="R28" s="3">
        <v>45161</v>
      </c>
      <c r="S28" s="3">
        <v>45366</v>
      </c>
      <c r="T28" s="3"/>
      <c r="W28" s="1" t="s">
        <v>1538</v>
      </c>
      <c r="X28" t="s">
        <v>1539</v>
      </c>
      <c r="Y28" s="3">
        <v>45366</v>
      </c>
      <c r="Z28" s="3">
        <v>45369</v>
      </c>
      <c r="AA28" t="s">
        <v>45</v>
      </c>
    </row>
    <row r="29" spans="1:27" hidden="1" x14ac:dyDescent="0.25">
      <c r="A29" s="111">
        <v>39</v>
      </c>
      <c r="B29" t="s">
        <v>1540</v>
      </c>
      <c r="E29" t="s">
        <v>1541</v>
      </c>
      <c r="F29" t="s">
        <v>355</v>
      </c>
      <c r="G29" t="s">
        <v>828</v>
      </c>
      <c r="I29" t="s">
        <v>399</v>
      </c>
      <c r="J29" t="s">
        <v>70</v>
      </c>
      <c r="N29" t="s">
        <v>40</v>
      </c>
      <c r="P29" t="s">
        <v>41</v>
      </c>
      <c r="Q29" t="s">
        <v>42</v>
      </c>
      <c r="R29"/>
      <c r="T29" s="3"/>
      <c r="W29" t="s">
        <v>1542</v>
      </c>
      <c r="X29"/>
      <c r="Y29" s="3"/>
      <c r="Z29" s="3">
        <v>45184</v>
      </c>
      <c r="AA29" t="s">
        <v>45</v>
      </c>
    </row>
    <row r="30" spans="1:27" hidden="1" x14ac:dyDescent="0.25">
      <c r="A30" s="111" t="s">
        <v>1543</v>
      </c>
      <c r="B30" t="s">
        <v>1544</v>
      </c>
      <c r="C30" t="s">
        <v>1545</v>
      </c>
      <c r="E30" t="s">
        <v>1546</v>
      </c>
      <c r="F30" t="s">
        <v>119</v>
      </c>
      <c r="G30" t="s">
        <v>1227</v>
      </c>
      <c r="I30" t="s">
        <v>94</v>
      </c>
      <c r="J30" t="s">
        <v>200</v>
      </c>
      <c r="N30" t="s">
        <v>40</v>
      </c>
      <c r="P30" t="s">
        <v>57</v>
      </c>
      <c r="Q30" t="s">
        <v>58</v>
      </c>
      <c r="R30"/>
      <c r="T30" s="3"/>
      <c r="W30"/>
      <c r="X30"/>
      <c r="Y30" s="3"/>
      <c r="Z30" s="3"/>
      <c r="AA30" t="s">
        <v>45</v>
      </c>
    </row>
    <row r="31" spans="1:27" ht="120" hidden="1" x14ac:dyDescent="0.25">
      <c r="A31" s="111">
        <v>43</v>
      </c>
      <c r="B31" t="s">
        <v>1547</v>
      </c>
      <c r="E31" t="s">
        <v>1548</v>
      </c>
      <c r="F31" t="s">
        <v>91</v>
      </c>
      <c r="G31" t="s">
        <v>199</v>
      </c>
      <c r="I31" t="s">
        <v>94</v>
      </c>
      <c r="J31" t="s">
        <v>95</v>
      </c>
      <c r="N31" t="s">
        <v>40</v>
      </c>
      <c r="P31" t="s">
        <v>57</v>
      </c>
      <c r="Q31" t="s">
        <v>42</v>
      </c>
      <c r="R31" s="3">
        <v>45237</v>
      </c>
      <c r="T31" s="3">
        <v>45322</v>
      </c>
      <c r="W31" s="1" t="s">
        <v>1549</v>
      </c>
      <c r="X31"/>
      <c r="Y31" s="3"/>
      <c r="Z31" s="3"/>
      <c r="AA31" t="s">
        <v>45</v>
      </c>
    </row>
    <row r="32" spans="1:27" hidden="1" x14ac:dyDescent="0.25">
      <c r="A32" s="111">
        <v>44</v>
      </c>
      <c r="B32" t="s">
        <v>1550</v>
      </c>
      <c r="E32" t="s">
        <v>1551</v>
      </c>
      <c r="F32" t="s">
        <v>119</v>
      </c>
      <c r="G32" t="s">
        <v>156</v>
      </c>
      <c r="I32" t="s">
        <v>103</v>
      </c>
      <c r="J32" t="s">
        <v>144</v>
      </c>
      <c r="N32" t="s">
        <v>39</v>
      </c>
      <c r="P32" t="s">
        <v>105</v>
      </c>
      <c r="Q32" t="s">
        <v>57</v>
      </c>
      <c r="R32"/>
      <c r="T32" s="3"/>
      <c r="W32" t="s">
        <v>1552</v>
      </c>
      <c r="X32"/>
      <c r="Y32" s="3"/>
      <c r="Z32" s="3"/>
      <c r="AA32" t="s">
        <v>45</v>
      </c>
    </row>
    <row r="33" spans="1:27" hidden="1" x14ac:dyDescent="0.25">
      <c r="A33" s="111">
        <v>45</v>
      </c>
      <c r="B33" t="s">
        <v>1553</v>
      </c>
      <c r="E33" t="s">
        <v>1554</v>
      </c>
      <c r="F33" t="s">
        <v>377</v>
      </c>
      <c r="G33" t="s">
        <v>828</v>
      </c>
      <c r="I33" t="s">
        <v>185</v>
      </c>
      <c r="J33" t="s">
        <v>70</v>
      </c>
      <c r="N33" t="s">
        <v>39</v>
      </c>
      <c r="P33" t="s">
        <v>300</v>
      </c>
      <c r="Q33" t="s">
        <v>58</v>
      </c>
      <c r="R33"/>
      <c r="T33" s="3"/>
      <c r="W33" t="s">
        <v>1555</v>
      </c>
      <c r="X33"/>
      <c r="Y33" s="3"/>
      <c r="Z33" s="3"/>
      <c r="AA33" t="s">
        <v>45</v>
      </c>
    </row>
    <row r="34" spans="1:27" hidden="1" x14ac:dyDescent="0.25">
      <c r="A34" s="111">
        <v>46</v>
      </c>
      <c r="B34" t="s">
        <v>1556</v>
      </c>
      <c r="C34" t="s">
        <v>1557</v>
      </c>
      <c r="E34" t="s">
        <v>1558</v>
      </c>
      <c r="F34" t="s">
        <v>473</v>
      </c>
      <c r="G34" t="s">
        <v>828</v>
      </c>
      <c r="I34" t="s">
        <v>54</v>
      </c>
      <c r="J34" t="s">
        <v>431</v>
      </c>
      <c r="N34" t="s">
        <v>39</v>
      </c>
      <c r="P34" t="s">
        <v>41</v>
      </c>
      <c r="Q34" t="s">
        <v>57</v>
      </c>
      <c r="R34"/>
      <c r="T34" s="3"/>
      <c r="W34"/>
      <c r="X34"/>
      <c r="Y34" s="3"/>
      <c r="Z34" s="3"/>
      <c r="AA34" t="s">
        <v>45</v>
      </c>
    </row>
    <row r="35" spans="1:27" ht="75" hidden="1" x14ac:dyDescent="0.25">
      <c r="A35" s="111" t="s">
        <v>1559</v>
      </c>
      <c r="B35" t="s">
        <v>1560</v>
      </c>
      <c r="C35" t="s">
        <v>1561</v>
      </c>
      <c r="E35" t="s">
        <v>1562</v>
      </c>
      <c r="F35" t="s">
        <v>1563</v>
      </c>
      <c r="G35" t="s">
        <v>1564</v>
      </c>
      <c r="I35" t="s">
        <v>54</v>
      </c>
      <c r="J35" t="s">
        <v>284</v>
      </c>
      <c r="N35" t="s">
        <v>39</v>
      </c>
      <c r="P35" t="s">
        <v>300</v>
      </c>
      <c r="Q35" t="s">
        <v>58</v>
      </c>
      <c r="R35" s="3">
        <v>44562</v>
      </c>
      <c r="S35" s="3">
        <v>45352</v>
      </c>
      <c r="T35" s="3"/>
      <c r="W35" s="1" t="s">
        <v>1565</v>
      </c>
      <c r="X35" t="s">
        <v>1566</v>
      </c>
      <c r="Y35" s="3">
        <v>45352</v>
      </c>
      <c r="Z35" s="3">
        <v>45380</v>
      </c>
      <c r="AA35" t="s">
        <v>45</v>
      </c>
    </row>
    <row r="36" spans="1:27" ht="135" hidden="1" x14ac:dyDescent="0.25">
      <c r="A36" s="111" t="s">
        <v>1567</v>
      </c>
      <c r="B36" t="s">
        <v>1560</v>
      </c>
      <c r="C36" t="s">
        <v>1568</v>
      </c>
      <c r="E36" t="s">
        <v>1569</v>
      </c>
      <c r="F36" t="s">
        <v>377</v>
      </c>
      <c r="G36" t="s">
        <v>1564</v>
      </c>
      <c r="I36" t="s">
        <v>185</v>
      </c>
      <c r="J36" t="s">
        <v>70</v>
      </c>
      <c r="N36" t="s">
        <v>39</v>
      </c>
      <c r="P36" t="s">
        <v>300</v>
      </c>
      <c r="Q36" t="s">
        <v>58</v>
      </c>
      <c r="R36" s="3">
        <v>45155</v>
      </c>
      <c r="S36" s="3">
        <v>45359</v>
      </c>
      <c r="T36" s="3"/>
      <c r="W36" s="1" t="s">
        <v>1570</v>
      </c>
      <c r="X36" t="s">
        <v>1571</v>
      </c>
      <c r="Y36" s="3">
        <v>45359</v>
      </c>
      <c r="Z36" s="3">
        <v>45373</v>
      </c>
      <c r="AA36" t="s">
        <v>45</v>
      </c>
    </row>
    <row r="37" spans="1:27" hidden="1" x14ac:dyDescent="0.25">
      <c r="A37" s="111">
        <v>49</v>
      </c>
      <c r="B37" t="s">
        <v>1572</v>
      </c>
      <c r="E37" t="s">
        <v>1573</v>
      </c>
      <c r="F37" t="s">
        <v>190</v>
      </c>
      <c r="G37" t="s">
        <v>1574</v>
      </c>
      <c r="I37" t="s">
        <v>35</v>
      </c>
      <c r="J37" t="s">
        <v>144</v>
      </c>
      <c r="N37" t="s">
        <v>39</v>
      </c>
      <c r="P37" t="s">
        <v>105</v>
      </c>
      <c r="Q37" t="s">
        <v>57</v>
      </c>
      <c r="R37"/>
      <c r="T37" s="3">
        <v>45131</v>
      </c>
      <c r="W37" t="s">
        <v>1575</v>
      </c>
      <c r="X37"/>
      <c r="Y37" s="3"/>
      <c r="Z37" s="3"/>
      <c r="AA37" t="s">
        <v>45</v>
      </c>
    </row>
    <row r="38" spans="1:27" hidden="1" x14ac:dyDescent="0.25">
      <c r="A38" s="111">
        <v>50</v>
      </c>
      <c r="B38" t="s">
        <v>1576</v>
      </c>
      <c r="E38" t="s">
        <v>1577</v>
      </c>
      <c r="F38" t="s">
        <v>190</v>
      </c>
      <c r="G38" t="s">
        <v>1578</v>
      </c>
      <c r="I38" t="s">
        <v>185</v>
      </c>
      <c r="J38" t="s">
        <v>95</v>
      </c>
      <c r="N38" t="s">
        <v>39</v>
      </c>
      <c r="Q38" t="s">
        <v>301</v>
      </c>
      <c r="R38"/>
      <c r="T38" s="3"/>
      <c r="W38" t="s">
        <v>1579</v>
      </c>
      <c r="X38"/>
      <c r="Y38" s="3"/>
      <c r="Z38" s="3">
        <v>45103</v>
      </c>
      <c r="AA38" t="s">
        <v>45</v>
      </c>
    </row>
    <row r="39" spans="1:27" hidden="1" x14ac:dyDescent="0.25">
      <c r="A39" s="111">
        <v>51</v>
      </c>
      <c r="B39" t="s">
        <v>1580</v>
      </c>
      <c r="E39" t="s">
        <v>1581</v>
      </c>
      <c r="F39" t="s">
        <v>240</v>
      </c>
      <c r="G39" t="s">
        <v>1227</v>
      </c>
      <c r="I39" t="s">
        <v>185</v>
      </c>
      <c r="J39" t="s">
        <v>95</v>
      </c>
      <c r="N39" t="s">
        <v>39</v>
      </c>
      <c r="P39" t="s">
        <v>57</v>
      </c>
      <c r="Q39" t="s">
        <v>58</v>
      </c>
      <c r="R39"/>
      <c r="S39" s="3">
        <v>45100</v>
      </c>
      <c r="T39" s="3"/>
      <c r="W39" t="s">
        <v>1582</v>
      </c>
      <c r="X39"/>
      <c r="Y39" s="3"/>
      <c r="Z39" s="3">
        <v>45103</v>
      </c>
      <c r="AA39" t="s">
        <v>45</v>
      </c>
    </row>
    <row r="40" spans="1:27" hidden="1" x14ac:dyDescent="0.25">
      <c r="A40" s="111" t="s">
        <v>1583</v>
      </c>
      <c r="B40" t="s">
        <v>1584</v>
      </c>
      <c r="C40" t="s">
        <v>1585</v>
      </c>
      <c r="E40" t="s">
        <v>1586</v>
      </c>
      <c r="F40" t="s">
        <v>1587</v>
      </c>
      <c r="G40" t="s">
        <v>1578</v>
      </c>
      <c r="I40" t="s">
        <v>35</v>
      </c>
      <c r="J40" t="s">
        <v>144</v>
      </c>
      <c r="N40" t="s">
        <v>39</v>
      </c>
      <c r="P40" t="s">
        <v>105</v>
      </c>
      <c r="Q40" t="s">
        <v>57</v>
      </c>
      <c r="R40"/>
      <c r="T40" s="3">
        <v>45149</v>
      </c>
      <c r="W40" t="s">
        <v>1588</v>
      </c>
      <c r="X40"/>
      <c r="Y40" s="3"/>
      <c r="Z40" s="3"/>
      <c r="AA40" t="s">
        <v>45</v>
      </c>
    </row>
    <row r="41" spans="1:27" hidden="1" x14ac:dyDescent="0.25">
      <c r="A41" s="111" t="s">
        <v>1589</v>
      </c>
      <c r="B41" t="s">
        <v>173</v>
      </c>
      <c r="C41" t="s">
        <v>1590</v>
      </c>
      <c r="E41" t="s">
        <v>1591</v>
      </c>
      <c r="F41" t="s">
        <v>176</v>
      </c>
      <c r="G41" t="s">
        <v>177</v>
      </c>
      <c r="I41" t="s">
        <v>35</v>
      </c>
      <c r="J41" t="s">
        <v>144</v>
      </c>
      <c r="N41" t="s">
        <v>39</v>
      </c>
      <c r="P41" t="s">
        <v>105</v>
      </c>
      <c r="Q41" t="s">
        <v>57</v>
      </c>
      <c r="R41"/>
      <c r="T41" s="3">
        <v>45194</v>
      </c>
      <c r="W41" t="s">
        <v>1592</v>
      </c>
      <c r="X41"/>
      <c r="Y41" s="3"/>
      <c r="Z41" s="3"/>
      <c r="AA41" t="s">
        <v>45</v>
      </c>
    </row>
    <row r="42" spans="1:27" hidden="1" x14ac:dyDescent="0.25">
      <c r="A42" s="111" t="s">
        <v>1593</v>
      </c>
      <c r="B42" t="s">
        <v>173</v>
      </c>
      <c r="C42" t="s">
        <v>1590</v>
      </c>
      <c r="E42" t="s">
        <v>1594</v>
      </c>
      <c r="F42" t="s">
        <v>176</v>
      </c>
      <c r="G42" t="s">
        <v>177</v>
      </c>
      <c r="I42" t="s">
        <v>35</v>
      </c>
      <c r="J42" t="s">
        <v>144</v>
      </c>
      <c r="N42" t="s">
        <v>39</v>
      </c>
      <c r="P42" t="s">
        <v>105</v>
      </c>
      <c r="Q42" t="s">
        <v>57</v>
      </c>
      <c r="R42"/>
      <c r="T42" s="3">
        <v>45222</v>
      </c>
      <c r="W42" t="s">
        <v>1595</v>
      </c>
      <c r="X42"/>
      <c r="Y42" s="3"/>
      <c r="Z42" s="3"/>
      <c r="AA42" t="s">
        <v>45</v>
      </c>
    </row>
    <row r="43" spans="1:27" x14ac:dyDescent="0.25">
      <c r="A43" s="111" t="s">
        <v>172</v>
      </c>
      <c r="B43" t="s">
        <v>173</v>
      </c>
      <c r="C43" t="s">
        <v>174</v>
      </c>
      <c r="E43" t="s">
        <v>175</v>
      </c>
      <c r="F43" t="s">
        <v>176</v>
      </c>
      <c r="G43" t="s">
        <v>177</v>
      </c>
      <c r="I43" t="s">
        <v>35</v>
      </c>
      <c r="J43" t="s">
        <v>144</v>
      </c>
      <c r="N43" t="s">
        <v>39</v>
      </c>
      <c r="O43" t="s">
        <v>40</v>
      </c>
      <c r="P43" t="s">
        <v>105</v>
      </c>
      <c r="Q43" t="s">
        <v>57</v>
      </c>
      <c r="R43" s="3">
        <v>45292</v>
      </c>
      <c r="S43" s="3">
        <v>45373</v>
      </c>
      <c r="T43" s="3">
        <v>45373</v>
      </c>
      <c r="W43" t="s">
        <v>178</v>
      </c>
      <c r="X43" t="s">
        <v>179</v>
      </c>
      <c r="Y43" s="3">
        <v>45359</v>
      </c>
      <c r="Z43" s="3"/>
      <c r="AA43" t="s">
        <v>45</v>
      </c>
    </row>
    <row r="44" spans="1:27" hidden="1" x14ac:dyDescent="0.25">
      <c r="A44" s="111">
        <v>59</v>
      </c>
      <c r="B44" t="s">
        <v>1596</v>
      </c>
      <c r="E44" t="s">
        <v>1597</v>
      </c>
      <c r="F44" t="s">
        <v>435</v>
      </c>
      <c r="G44" t="s">
        <v>1598</v>
      </c>
      <c r="I44" t="s">
        <v>35</v>
      </c>
      <c r="J44" t="s">
        <v>144</v>
      </c>
      <c r="N44" t="s">
        <v>39</v>
      </c>
      <c r="P44" t="s">
        <v>105</v>
      </c>
      <c r="Q44" t="s">
        <v>57</v>
      </c>
      <c r="R44"/>
      <c r="T44" s="3">
        <v>45194</v>
      </c>
      <c r="W44" t="s">
        <v>1599</v>
      </c>
      <c r="X44"/>
      <c r="Y44" s="3"/>
      <c r="Z44" s="3"/>
      <c r="AA44" t="s">
        <v>45</v>
      </c>
    </row>
    <row r="45" spans="1:27" hidden="1" x14ac:dyDescent="0.25">
      <c r="A45" s="111">
        <v>61</v>
      </c>
      <c r="B45" t="s">
        <v>1600</v>
      </c>
      <c r="E45" t="s">
        <v>1601</v>
      </c>
      <c r="F45" t="s">
        <v>1602</v>
      </c>
      <c r="G45" t="s">
        <v>1227</v>
      </c>
      <c r="I45" t="s">
        <v>54</v>
      </c>
      <c r="J45" t="s">
        <v>95</v>
      </c>
      <c r="L45" t="s">
        <v>224</v>
      </c>
      <c r="N45" t="s">
        <v>39</v>
      </c>
      <c r="P45" t="s">
        <v>300</v>
      </c>
      <c r="Q45" t="s">
        <v>58</v>
      </c>
      <c r="R45"/>
      <c r="T45" s="3"/>
      <c r="W45" t="s">
        <v>1603</v>
      </c>
      <c r="X45"/>
      <c r="Y45" s="3"/>
      <c r="Z45" s="3"/>
      <c r="AA45" t="s">
        <v>45</v>
      </c>
    </row>
    <row r="46" spans="1:27" hidden="1" x14ac:dyDescent="0.25">
      <c r="A46" s="111">
        <v>62</v>
      </c>
      <c r="B46" t="s">
        <v>1604</v>
      </c>
      <c r="E46" t="s">
        <v>1605</v>
      </c>
      <c r="F46" t="s">
        <v>176</v>
      </c>
      <c r="G46" t="s">
        <v>177</v>
      </c>
      <c r="I46" t="s">
        <v>35</v>
      </c>
      <c r="J46" t="s">
        <v>144</v>
      </c>
      <c r="N46" t="s">
        <v>39</v>
      </c>
      <c r="P46" t="s">
        <v>105</v>
      </c>
      <c r="Q46" t="s">
        <v>57</v>
      </c>
      <c r="R46"/>
      <c r="T46" s="3">
        <v>45275</v>
      </c>
      <c r="W46"/>
      <c r="X46"/>
      <c r="Y46" s="3"/>
      <c r="Z46" s="3"/>
      <c r="AA46" t="s">
        <v>45</v>
      </c>
    </row>
    <row r="47" spans="1:27" ht="30" x14ac:dyDescent="0.25">
      <c r="A47" s="111" t="s">
        <v>180</v>
      </c>
      <c r="B47" t="s">
        <v>181</v>
      </c>
      <c r="C47" t="s">
        <v>182</v>
      </c>
      <c r="E47" t="s">
        <v>183</v>
      </c>
      <c r="F47" t="s">
        <v>119</v>
      </c>
      <c r="G47" t="s">
        <v>184</v>
      </c>
      <c r="I47" t="s">
        <v>185</v>
      </c>
      <c r="J47" t="s">
        <v>144</v>
      </c>
      <c r="N47" t="s">
        <v>39</v>
      </c>
      <c r="O47" t="s">
        <v>40</v>
      </c>
      <c r="P47" t="s">
        <v>57</v>
      </c>
      <c r="Q47" t="s">
        <v>42</v>
      </c>
      <c r="R47" s="3">
        <v>45273</v>
      </c>
      <c r="S47" s="3">
        <v>45412</v>
      </c>
      <c r="T47" s="3">
        <v>45412</v>
      </c>
      <c r="W47" s="1" t="s">
        <v>186</v>
      </c>
      <c r="X47" t="s">
        <v>187</v>
      </c>
      <c r="Y47" s="3">
        <v>45359</v>
      </c>
      <c r="Z47" s="3"/>
      <c r="AA47" t="s">
        <v>45</v>
      </c>
    </row>
    <row r="48" spans="1:27" hidden="1" x14ac:dyDescent="0.25">
      <c r="A48" s="111">
        <v>65</v>
      </c>
      <c r="B48" t="s">
        <v>1606</v>
      </c>
      <c r="E48" t="s">
        <v>1607</v>
      </c>
      <c r="F48" t="s">
        <v>190</v>
      </c>
      <c r="G48" t="s">
        <v>1608</v>
      </c>
      <c r="I48" t="s">
        <v>35</v>
      </c>
      <c r="J48" t="s">
        <v>144</v>
      </c>
      <c r="N48" t="s">
        <v>39</v>
      </c>
      <c r="P48" t="s">
        <v>105</v>
      </c>
      <c r="Q48" t="s">
        <v>57</v>
      </c>
      <c r="R48"/>
      <c r="T48" s="3"/>
      <c r="W48" t="s">
        <v>1609</v>
      </c>
      <c r="X48"/>
      <c r="Y48" s="3"/>
      <c r="Z48" s="3"/>
      <c r="AA48" t="s">
        <v>45</v>
      </c>
    </row>
    <row r="49" spans="1:27" ht="105" x14ac:dyDescent="0.25">
      <c r="A49" s="111">
        <v>66</v>
      </c>
      <c r="B49" t="s">
        <v>188</v>
      </c>
      <c r="E49" t="s">
        <v>189</v>
      </c>
      <c r="F49" t="s">
        <v>190</v>
      </c>
      <c r="G49" t="s">
        <v>191</v>
      </c>
      <c r="I49" t="s">
        <v>35</v>
      </c>
      <c r="J49" t="s">
        <v>144</v>
      </c>
      <c r="N49" t="s">
        <v>39</v>
      </c>
      <c r="O49" t="s">
        <v>40</v>
      </c>
      <c r="P49" t="s">
        <v>105</v>
      </c>
      <c r="Q49" t="s">
        <v>57</v>
      </c>
      <c r="R49" s="3">
        <v>45266</v>
      </c>
      <c r="S49" s="3">
        <v>45373</v>
      </c>
      <c r="T49" s="3">
        <v>45373</v>
      </c>
      <c r="W49" s="1" t="s">
        <v>192</v>
      </c>
      <c r="X49" t="s">
        <v>193</v>
      </c>
      <c r="Y49" s="3">
        <v>45359</v>
      </c>
      <c r="Z49" s="3"/>
      <c r="AA49" t="s">
        <v>45</v>
      </c>
    </row>
    <row r="50" spans="1:27" hidden="1" x14ac:dyDescent="0.25">
      <c r="A50" s="111">
        <v>67</v>
      </c>
      <c r="B50" t="s">
        <v>1610</v>
      </c>
      <c r="E50" t="s">
        <v>1611</v>
      </c>
      <c r="F50" t="s">
        <v>119</v>
      </c>
      <c r="G50" t="s">
        <v>828</v>
      </c>
      <c r="I50" t="s">
        <v>487</v>
      </c>
      <c r="J50" t="s">
        <v>488</v>
      </c>
      <c r="N50" t="s">
        <v>39</v>
      </c>
      <c r="P50" t="s">
        <v>57</v>
      </c>
      <c r="Q50" t="s">
        <v>58</v>
      </c>
      <c r="R50"/>
      <c r="T50" s="3"/>
      <c r="W50" t="s">
        <v>1612</v>
      </c>
      <c r="X50"/>
      <c r="Y50" s="3"/>
      <c r="Z50" s="3"/>
      <c r="AA50" t="s">
        <v>45</v>
      </c>
    </row>
    <row r="51" spans="1:27" hidden="1" x14ac:dyDescent="0.25">
      <c r="A51" s="111" t="s">
        <v>1613</v>
      </c>
      <c r="B51" t="s">
        <v>316</v>
      </c>
      <c r="C51" t="s">
        <v>1614</v>
      </c>
      <c r="E51" t="s">
        <v>1615</v>
      </c>
      <c r="F51" t="s">
        <v>319</v>
      </c>
      <c r="G51" t="s">
        <v>1227</v>
      </c>
      <c r="I51" t="s">
        <v>54</v>
      </c>
      <c r="J51" t="s">
        <v>95</v>
      </c>
      <c r="N51" t="s">
        <v>39</v>
      </c>
      <c r="P51" t="s">
        <v>41</v>
      </c>
      <c r="Q51" t="s">
        <v>58</v>
      </c>
      <c r="R51" s="3">
        <v>45254</v>
      </c>
      <c r="T51" s="3"/>
      <c r="W51" t="s">
        <v>1616</v>
      </c>
      <c r="X51"/>
      <c r="Y51" s="3"/>
      <c r="Z51" s="3">
        <v>45275</v>
      </c>
      <c r="AA51" t="s">
        <v>45</v>
      </c>
    </row>
    <row r="52" spans="1:27" ht="30" hidden="1" x14ac:dyDescent="0.25">
      <c r="A52" s="111">
        <v>68</v>
      </c>
      <c r="B52" t="s">
        <v>1617</v>
      </c>
      <c r="E52" t="s">
        <v>1618</v>
      </c>
      <c r="F52" t="s">
        <v>91</v>
      </c>
      <c r="G52" t="s">
        <v>828</v>
      </c>
      <c r="I52" t="s">
        <v>35</v>
      </c>
      <c r="J52" t="s">
        <v>144</v>
      </c>
      <c r="N52" t="s">
        <v>39</v>
      </c>
      <c r="P52" t="s">
        <v>105</v>
      </c>
      <c r="Q52" t="s">
        <v>58</v>
      </c>
      <c r="R52" s="3">
        <v>45258</v>
      </c>
      <c r="T52" s="3"/>
      <c r="W52" s="1" t="s">
        <v>1619</v>
      </c>
      <c r="X52"/>
      <c r="Y52" s="3"/>
      <c r="Z52" s="3">
        <v>45280</v>
      </c>
      <c r="AA52" t="s">
        <v>45</v>
      </c>
    </row>
    <row r="53" spans="1:27" ht="75" hidden="1" x14ac:dyDescent="0.25">
      <c r="A53" s="111">
        <v>69</v>
      </c>
      <c r="B53" t="s">
        <v>1620</v>
      </c>
      <c r="E53" t="s">
        <v>1621</v>
      </c>
      <c r="F53" t="s">
        <v>643</v>
      </c>
      <c r="G53" t="s">
        <v>1463</v>
      </c>
      <c r="I53" t="s">
        <v>35</v>
      </c>
      <c r="J53" t="s">
        <v>144</v>
      </c>
      <c r="N53" t="s">
        <v>39</v>
      </c>
      <c r="P53" t="s">
        <v>41</v>
      </c>
      <c r="Q53" t="s">
        <v>57</v>
      </c>
      <c r="R53" s="3">
        <v>45258</v>
      </c>
      <c r="T53" s="3">
        <v>45373</v>
      </c>
      <c r="W53" s="1" t="s">
        <v>1622</v>
      </c>
      <c r="X53" t="s">
        <v>1623</v>
      </c>
      <c r="Y53" s="3">
        <v>45366</v>
      </c>
      <c r="Z53" s="3"/>
      <c r="AA53" t="s">
        <v>45</v>
      </c>
    </row>
    <row r="54" spans="1:27" hidden="1" x14ac:dyDescent="0.25">
      <c r="A54" s="111">
        <v>71</v>
      </c>
      <c r="B54" t="s">
        <v>1624</v>
      </c>
      <c r="E54" t="s">
        <v>1625</v>
      </c>
      <c r="F54" t="s">
        <v>190</v>
      </c>
      <c r="G54" t="s">
        <v>828</v>
      </c>
      <c r="I54" t="s">
        <v>536</v>
      </c>
      <c r="J54" t="s">
        <v>70</v>
      </c>
      <c r="N54" t="s">
        <v>39</v>
      </c>
      <c r="P54" t="s">
        <v>41</v>
      </c>
      <c r="Q54" t="s">
        <v>58</v>
      </c>
      <c r="R54"/>
      <c r="T54" s="3"/>
      <c r="W54" t="s">
        <v>1626</v>
      </c>
      <c r="X54"/>
      <c r="Y54" s="3"/>
      <c r="Z54" s="3"/>
      <c r="AA54" t="s">
        <v>45</v>
      </c>
    </row>
    <row r="55" spans="1:27" ht="45" x14ac:dyDescent="0.25">
      <c r="A55" s="111">
        <v>73</v>
      </c>
      <c r="B55" t="s">
        <v>194</v>
      </c>
      <c r="E55" t="s">
        <v>195</v>
      </c>
      <c r="F55" t="s">
        <v>176</v>
      </c>
      <c r="G55" t="s">
        <v>177</v>
      </c>
      <c r="I55" t="s">
        <v>35</v>
      </c>
      <c r="J55" t="s">
        <v>144</v>
      </c>
      <c r="N55" t="s">
        <v>39</v>
      </c>
      <c r="O55" t="s">
        <v>40</v>
      </c>
      <c r="P55" t="s">
        <v>105</v>
      </c>
      <c r="Q55" t="s">
        <v>57</v>
      </c>
      <c r="R55" s="3">
        <v>45266</v>
      </c>
      <c r="S55" s="3">
        <v>45373</v>
      </c>
      <c r="T55" s="3">
        <v>45373</v>
      </c>
      <c r="W55" s="1" t="s">
        <v>196</v>
      </c>
      <c r="X55" t="s">
        <v>197</v>
      </c>
      <c r="Y55" s="3">
        <v>45359</v>
      </c>
      <c r="Z55" s="3"/>
      <c r="AA55" t="s">
        <v>45</v>
      </c>
    </row>
    <row r="56" spans="1:27" hidden="1" x14ac:dyDescent="0.25">
      <c r="A56" s="111">
        <v>75</v>
      </c>
      <c r="B56" t="s">
        <v>1627</v>
      </c>
      <c r="E56" t="s">
        <v>1607</v>
      </c>
      <c r="F56" t="s">
        <v>190</v>
      </c>
      <c r="G56" t="s">
        <v>1628</v>
      </c>
      <c r="I56" t="s">
        <v>35</v>
      </c>
      <c r="J56" t="s">
        <v>144</v>
      </c>
      <c r="N56" t="s">
        <v>39</v>
      </c>
      <c r="P56" t="s">
        <v>105</v>
      </c>
      <c r="Q56" t="s">
        <v>57</v>
      </c>
      <c r="R56"/>
      <c r="T56" s="3"/>
      <c r="W56"/>
      <c r="X56"/>
      <c r="Y56" s="3"/>
      <c r="Z56" s="3">
        <v>45300</v>
      </c>
      <c r="AA56" t="s">
        <v>45</v>
      </c>
    </row>
    <row r="57" spans="1:27" hidden="1" x14ac:dyDescent="0.25">
      <c r="A57" s="111">
        <v>76</v>
      </c>
      <c r="B57" t="s">
        <v>1629</v>
      </c>
      <c r="E57" t="s">
        <v>1630</v>
      </c>
      <c r="F57" t="s">
        <v>119</v>
      </c>
      <c r="G57" t="s">
        <v>1631</v>
      </c>
      <c r="I57" t="s">
        <v>54</v>
      </c>
      <c r="J57" t="s">
        <v>36</v>
      </c>
      <c r="N57" t="s">
        <v>39</v>
      </c>
      <c r="O57" t="s">
        <v>40</v>
      </c>
      <c r="P57" t="s">
        <v>57</v>
      </c>
      <c r="Q57" t="s">
        <v>57</v>
      </c>
      <c r="R57" s="3">
        <v>44562</v>
      </c>
      <c r="S57" s="3">
        <v>45351</v>
      </c>
      <c r="T57" s="3">
        <v>45351</v>
      </c>
      <c r="W57" t="s">
        <v>1632</v>
      </c>
      <c r="X57" t="s">
        <v>1633</v>
      </c>
      <c r="Y57" s="3"/>
      <c r="Z57" s="3">
        <v>45351</v>
      </c>
      <c r="AA57" t="s">
        <v>45</v>
      </c>
    </row>
    <row r="58" spans="1:27" hidden="1" x14ac:dyDescent="0.25">
      <c r="A58" s="111">
        <v>81</v>
      </c>
      <c r="B58" t="s">
        <v>1634</v>
      </c>
      <c r="G58" t="s">
        <v>199</v>
      </c>
      <c r="I58" t="s">
        <v>54</v>
      </c>
      <c r="J58" t="s">
        <v>284</v>
      </c>
      <c r="R58"/>
      <c r="T58" s="3"/>
      <c r="W58" t="s">
        <v>1635</v>
      </c>
      <c r="X58"/>
      <c r="Y58" s="3">
        <v>45359</v>
      </c>
      <c r="Z58" s="3">
        <v>45351</v>
      </c>
      <c r="AA58" t="s">
        <v>45</v>
      </c>
    </row>
    <row r="59" spans="1:27" x14ac:dyDescent="0.25">
      <c r="A59" s="111">
        <v>84</v>
      </c>
      <c r="B59" t="s">
        <v>198</v>
      </c>
      <c r="G59" t="s">
        <v>199</v>
      </c>
      <c r="I59" t="s">
        <v>185</v>
      </c>
      <c r="J59" t="s">
        <v>200</v>
      </c>
      <c r="R59" s="3">
        <v>45292</v>
      </c>
      <c r="S59" s="3">
        <v>45345</v>
      </c>
      <c r="T59" s="3"/>
      <c r="W59" t="s">
        <v>201</v>
      </c>
      <c r="X59" t="s">
        <v>202</v>
      </c>
      <c r="Y59" s="3">
        <v>45331</v>
      </c>
      <c r="Z59" s="3">
        <v>45337</v>
      </c>
      <c r="AA59" t="s">
        <v>45</v>
      </c>
    </row>
    <row r="60" spans="1:27" ht="45" x14ac:dyDescent="0.25">
      <c r="A60" s="111">
        <v>95</v>
      </c>
      <c r="B60" t="s">
        <v>203</v>
      </c>
      <c r="E60" t="s">
        <v>204</v>
      </c>
      <c r="F60" t="s">
        <v>205</v>
      </c>
      <c r="G60" t="s">
        <v>143</v>
      </c>
      <c r="I60" t="s">
        <v>82</v>
      </c>
      <c r="J60" t="s">
        <v>144</v>
      </c>
      <c r="N60" t="s">
        <v>39</v>
      </c>
      <c r="O60" t="s">
        <v>40</v>
      </c>
      <c r="P60" t="s">
        <v>105</v>
      </c>
      <c r="Q60" t="s">
        <v>57</v>
      </c>
      <c r="R60" s="3">
        <v>45355</v>
      </c>
      <c r="S60" s="3">
        <v>45366</v>
      </c>
      <c r="T60" s="3"/>
      <c r="W60" s="1" t="s">
        <v>206</v>
      </c>
      <c r="X60"/>
      <c r="Y60" s="3">
        <v>45355</v>
      </c>
      <c r="Z60" s="3">
        <v>45387</v>
      </c>
      <c r="AA60" t="s">
        <v>45</v>
      </c>
    </row>
    <row r="61" spans="1:27" ht="60" x14ac:dyDescent="0.25">
      <c r="A61" s="111">
        <v>97</v>
      </c>
      <c r="B61" t="s">
        <v>207</v>
      </c>
      <c r="E61" t="s">
        <v>208</v>
      </c>
      <c r="F61" t="s">
        <v>209</v>
      </c>
      <c r="G61" t="s">
        <v>143</v>
      </c>
      <c r="I61" t="s">
        <v>35</v>
      </c>
      <c r="J61" t="s">
        <v>144</v>
      </c>
      <c r="N61" t="s">
        <v>39</v>
      </c>
      <c r="O61" t="s">
        <v>40</v>
      </c>
      <c r="P61" t="s">
        <v>41</v>
      </c>
      <c r="Q61" t="s">
        <v>57</v>
      </c>
      <c r="R61" s="3">
        <v>45415</v>
      </c>
      <c r="S61" s="3">
        <v>45443</v>
      </c>
      <c r="T61" s="3">
        <v>45443</v>
      </c>
      <c r="W61" s="1" t="s">
        <v>210</v>
      </c>
      <c r="X61"/>
      <c r="Y61" s="3">
        <v>45422</v>
      </c>
      <c r="Z61" s="3">
        <v>45429</v>
      </c>
      <c r="AA61" t="s">
        <v>45</v>
      </c>
    </row>
    <row r="62" spans="1:27" ht="75" x14ac:dyDescent="0.25">
      <c r="A62" s="111" t="s">
        <v>131</v>
      </c>
      <c r="B62" t="s">
        <v>132</v>
      </c>
      <c r="C62" t="s">
        <v>133</v>
      </c>
      <c r="E62" t="s">
        <v>134</v>
      </c>
      <c r="F62" t="s">
        <v>135</v>
      </c>
      <c r="G62" t="s">
        <v>136</v>
      </c>
      <c r="I62" t="s">
        <v>137</v>
      </c>
      <c r="J62" t="s">
        <v>138</v>
      </c>
      <c r="R62" s="3">
        <v>45422</v>
      </c>
      <c r="S62" s="3">
        <v>45464</v>
      </c>
      <c r="T62" s="3"/>
      <c r="W62" s="1" t="s">
        <v>139</v>
      </c>
      <c r="X62"/>
      <c r="Y62" s="3">
        <v>45464</v>
      </c>
      <c r="Z62" s="3"/>
      <c r="AA62" t="s">
        <v>45</v>
      </c>
    </row>
    <row r="63" spans="1:27" ht="135" x14ac:dyDescent="0.25">
      <c r="A63" s="111">
        <v>60</v>
      </c>
      <c r="B63" t="s">
        <v>140</v>
      </c>
      <c r="C63" t="s">
        <v>141</v>
      </c>
      <c r="F63" t="s">
        <v>142</v>
      </c>
      <c r="G63" t="s">
        <v>143</v>
      </c>
      <c r="I63" t="s">
        <v>103</v>
      </c>
      <c r="J63" t="s">
        <v>144</v>
      </c>
      <c r="N63" t="s">
        <v>39</v>
      </c>
      <c r="O63" t="s">
        <v>40</v>
      </c>
      <c r="P63" t="s">
        <v>41</v>
      </c>
      <c r="Q63" t="s">
        <v>57</v>
      </c>
      <c r="R63" s="3">
        <v>45275</v>
      </c>
      <c r="S63" s="3">
        <v>45450</v>
      </c>
      <c r="T63" s="3"/>
      <c r="W63" s="1" t="s">
        <v>145</v>
      </c>
      <c r="X63"/>
      <c r="Y63" s="3">
        <v>45429</v>
      </c>
      <c r="Z63" s="3">
        <v>45429</v>
      </c>
      <c r="AA63" t="s">
        <v>45</v>
      </c>
    </row>
    <row r="64" spans="1:27" ht="90" x14ac:dyDescent="0.25">
      <c r="A64" s="111">
        <v>85</v>
      </c>
      <c r="B64" t="s">
        <v>146</v>
      </c>
      <c r="E64" t="s">
        <v>147</v>
      </c>
      <c r="F64" t="s">
        <v>148</v>
      </c>
      <c r="G64" t="s">
        <v>149</v>
      </c>
      <c r="I64" t="s">
        <v>54</v>
      </c>
      <c r="J64" t="s">
        <v>144</v>
      </c>
      <c r="N64" t="s">
        <v>39</v>
      </c>
      <c r="P64" t="s">
        <v>57</v>
      </c>
      <c r="Q64" t="s">
        <v>58</v>
      </c>
      <c r="R64" s="3">
        <v>45345</v>
      </c>
      <c r="S64" s="3">
        <v>45464</v>
      </c>
      <c r="T64" s="3"/>
      <c r="W64" s="1" t="s">
        <v>150</v>
      </c>
      <c r="X64"/>
      <c r="Y64" s="3">
        <v>45464</v>
      </c>
      <c r="Z64" s="3"/>
      <c r="AA64" t="s">
        <v>45</v>
      </c>
    </row>
    <row r="65" spans="1:30" ht="105" x14ac:dyDescent="0.25">
      <c r="A65" s="111">
        <v>96</v>
      </c>
      <c r="B65" t="s">
        <v>151</v>
      </c>
      <c r="P65" t="s">
        <v>105</v>
      </c>
      <c r="Q65" t="s">
        <v>42</v>
      </c>
      <c r="R65" s="3">
        <v>45366</v>
      </c>
      <c r="S65" s="3">
        <v>45425</v>
      </c>
      <c r="T65" s="3"/>
      <c r="W65" s="1" t="s">
        <v>152</v>
      </c>
      <c r="X65"/>
      <c r="Y65" s="3">
        <v>45429</v>
      </c>
      <c r="Z65" s="3">
        <v>45443</v>
      </c>
      <c r="AA65" t="s">
        <v>45</v>
      </c>
    </row>
    <row r="66" spans="1:30" ht="45" x14ac:dyDescent="0.25">
      <c r="A66" s="111" t="s">
        <v>153</v>
      </c>
      <c r="B66" t="s">
        <v>132</v>
      </c>
      <c r="C66" t="s">
        <v>154</v>
      </c>
      <c r="F66" t="s">
        <v>155</v>
      </c>
      <c r="G66" t="s">
        <v>156</v>
      </c>
      <c r="J66" t="s">
        <v>95</v>
      </c>
      <c r="P66" t="s">
        <v>41</v>
      </c>
      <c r="Q66" t="s">
        <v>57</v>
      </c>
      <c r="R66" s="3">
        <v>45331</v>
      </c>
      <c r="S66" s="3">
        <v>45352</v>
      </c>
      <c r="T66" s="3"/>
      <c r="W66" s="1" t="s">
        <v>157</v>
      </c>
      <c r="X66" t="s">
        <v>158</v>
      </c>
      <c r="Y66" s="3">
        <v>45352</v>
      </c>
      <c r="Z66" s="3">
        <v>45504</v>
      </c>
      <c r="AA66" t="s">
        <v>45</v>
      </c>
    </row>
    <row r="67" spans="1:30" s="118" customFormat="1" ht="240" x14ac:dyDescent="0.25">
      <c r="A67" s="119" t="s">
        <v>1395</v>
      </c>
      <c r="B67" s="118" t="s">
        <v>1636</v>
      </c>
      <c r="D67" s="118" t="s">
        <v>1636</v>
      </c>
      <c r="F67" s="118" t="s">
        <v>190</v>
      </c>
      <c r="G67" s="118" t="s">
        <v>349</v>
      </c>
      <c r="I67" s="118" t="s">
        <v>54</v>
      </c>
      <c r="J67" s="118" t="s">
        <v>144</v>
      </c>
      <c r="K67" s="118" t="s">
        <v>56</v>
      </c>
      <c r="N67" s="118" t="s">
        <v>39</v>
      </c>
      <c r="O67" s="118" t="s">
        <v>40</v>
      </c>
      <c r="P67" s="118" t="s">
        <v>41</v>
      </c>
      <c r="Q67" s="118" t="s">
        <v>58</v>
      </c>
      <c r="R67" s="120">
        <v>45719</v>
      </c>
      <c r="S67" s="120"/>
      <c r="T67" s="120"/>
      <c r="U67" s="120">
        <v>45747</v>
      </c>
      <c r="V67" s="120"/>
      <c r="W67" s="4" t="s">
        <v>43</v>
      </c>
      <c r="X67" s="118" t="s">
        <v>1637</v>
      </c>
      <c r="Y67" s="121" t="s">
        <v>1638</v>
      </c>
      <c r="Z67" s="120">
        <v>45744</v>
      </c>
      <c r="AA67" s="120">
        <v>45751</v>
      </c>
      <c r="AB67" s="118" t="s">
        <v>671</v>
      </c>
      <c r="AC67" s="118" t="s">
        <v>514</v>
      </c>
      <c r="AD67" s="122"/>
    </row>
  </sheetData>
  <autoFilter ref="A1:AC67" xr:uid="{2D7A3D30-F889-4496-B2D3-CCCBD72D0B74}">
    <filterColumn colId="17">
      <filters>
        <dateGroupItem year="2025" dateTimeGrouping="year"/>
        <dateGroupItem year="2024" dateTimeGrouping="year"/>
        <dateGroupItem year="2023" month="12" dateTimeGrouping="month"/>
      </filters>
    </filterColumn>
  </autoFilter>
  <conditionalFormatting sqref="T67">
    <cfRule type="expression" dxfId="84" priority="9" stopIfTrue="1">
      <formula>$AB67="Complete"</formula>
    </cfRule>
    <cfRule type="expression" dxfId="83" priority="10" stopIfTrue="1">
      <formula>$AB67="On Hold"</formula>
    </cfRule>
    <cfRule type="expression" dxfId="82" priority="11" stopIfTrue="1">
      <formula>AND($U67&lt;&gt;"",$U67&lt;=TODAY())</formula>
    </cfRule>
    <cfRule type="expression" dxfId="81" priority="12" stopIfTrue="1">
      <formula>AND($AA67&lt;&gt;"",$AA67&lt;=TODAY())</formula>
    </cfRule>
  </conditionalFormatting>
  <conditionalFormatting sqref="U67:Y67 A67:S67 AA67:AD67">
    <cfRule type="expression" dxfId="80" priority="13" stopIfTrue="1">
      <formula>$AB67="Complete"</formula>
    </cfRule>
    <cfRule type="expression" dxfId="79" priority="14" stopIfTrue="1">
      <formula>$AB67="On Hold"</formula>
    </cfRule>
    <cfRule type="expression" dxfId="78" priority="15" stopIfTrue="1">
      <formula>AND(#REF!&lt;&gt;"",#REF!&lt;=TODAY())</formula>
    </cfRule>
    <cfRule type="expression" dxfId="77" priority="16" stopIfTrue="1">
      <formula>AND($AA67&lt;&gt;"",$AA67&lt;=TODAY())</formula>
    </cfRule>
  </conditionalFormatting>
  <conditionalFormatting sqref="Z67">
    <cfRule type="expression" dxfId="76" priority="5" stopIfTrue="1">
      <formula>$AB67="Complete"</formula>
    </cfRule>
    <cfRule type="expression" dxfId="75" priority="6" stopIfTrue="1">
      <formula>$AB67="On Hold"</formula>
    </cfRule>
    <cfRule type="expression" dxfId="74" priority="7" stopIfTrue="1">
      <formula>AND($U67&lt;&gt;"",$U67&lt;=TODAY())</formula>
    </cfRule>
    <cfRule type="expression" dxfId="73" priority="8" stopIfTrue="1">
      <formula>AND($AA67&lt;&gt;"",$AA67&lt;=TODAY())</formula>
    </cfRule>
  </conditionalFormatting>
  <dataValidations count="7">
    <dataValidation type="list" allowBlank="1" showInputMessage="1" showErrorMessage="1" sqref="W67 V1" xr:uid="{5F2024F7-21CA-4EA4-9DB0-113A1676768F}">
      <formula1>DEADLINE_TYPE</formula1>
    </dataValidation>
    <dataValidation type="list" allowBlank="1" showInputMessage="1" showErrorMessage="1" sqref="Q67" xr:uid="{4FA79487-7C08-481B-A2A5-88EF81948278}">
      <formula1>EFFORT</formula1>
    </dataValidation>
    <dataValidation type="list" allowBlank="1" showInputMessage="1" showErrorMessage="1" sqref="J67" xr:uid="{C48EA2EE-7F8D-42E9-9CBD-CB4B28B30C2A}">
      <formula1>CATEGORY</formula1>
    </dataValidation>
    <dataValidation type="list" allowBlank="1" showInputMessage="1" showErrorMessage="1" sqref="AC67" xr:uid="{FD5C4394-1663-4D59-A008-0387E49A6ADB}">
      <formula1>STATUS_DETAIL</formula1>
    </dataValidation>
    <dataValidation type="list" allowBlank="1" showInputMessage="1" showErrorMessage="1" sqref="AB67" xr:uid="{B565E7F7-0A7A-4222-B705-1044442A9E4D}">
      <formula1>STATUS</formula1>
    </dataValidation>
    <dataValidation type="list" allowBlank="1" showInputMessage="1" showErrorMessage="1" sqref="I67" xr:uid="{3EF7F2F4-2227-4A00-A1F4-5E9E17A574A9}">
      <formula1>mandate</formula1>
    </dataValidation>
    <dataValidation type="list" allowBlank="1" showInputMessage="1" showErrorMessage="1" sqref="P67" xr:uid="{8C3CA4A1-13CC-4A96-8F8B-5C1DEED445EF}">
      <formula1>bus_priority</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stopIfTrue="1" id="{2DFA2AED-DE46-4F3E-9C70-D40827890525}">
            <xm:f>'Work Tracker'!$AA1="Complete"</xm:f>
            <x14:dxf>
              <fill>
                <patternFill>
                  <bgColor theme="9" tint="0.39994506668294322"/>
                </patternFill>
              </fill>
            </x14:dxf>
          </x14:cfRule>
          <x14:cfRule type="expression" priority="2" stopIfTrue="1" id="{97245300-5A64-4BDC-B2CF-2622629E2023}">
            <xm:f>'Work Tracker'!$AA1="On Hold"</xm:f>
            <x14:dxf>
              <fill>
                <patternFill>
                  <bgColor theme="6" tint="0.59996337778862885"/>
                </patternFill>
              </fill>
            </x14:dxf>
          </x14:cfRule>
          <x14:cfRule type="expression" priority="3" stopIfTrue="1" id="{4169C424-9C98-472A-8411-1DCE8C3D7847}">
            <xm:f>AND('Work Tracker'!$T1&lt;&gt;"",'Work Tracker'!$T1&lt;=TODAY())</xm:f>
            <x14:dxf>
              <font>
                <color theme="2"/>
              </font>
              <fill>
                <patternFill>
                  <bgColor rgb="FFC00000"/>
                </patternFill>
              </fill>
            </x14:dxf>
          </x14:cfRule>
          <x14:cfRule type="expression" priority="4" stopIfTrue="1" id="{4EA02A96-8CFF-4884-A195-82103B1062B7}">
            <xm:f>AND('Work Tracker'!$Z1&lt;&gt;"",'Work Tracker'!$Z1&lt;=TODAY())</xm:f>
            <x14:dxf>
              <fill>
                <patternFill>
                  <bgColor theme="5" tint="0.59996337778862885"/>
                </patternFill>
              </fill>
            </x14:dxf>
          </x14:cfRule>
          <xm:sqref>A1:AC1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75D0E-83B0-4348-9305-6FEA7B479E99}">
  <sheetPr codeName="Sheet5">
    <tabColor theme="5" tint="0.79998168889431442"/>
  </sheetPr>
  <dimension ref="A1:BU30"/>
  <sheetViews>
    <sheetView topLeftCell="A29" workbookViewId="0">
      <selection activeCell="W31" sqref="W31"/>
    </sheetView>
  </sheetViews>
  <sheetFormatPr defaultRowHeight="15" x14ac:dyDescent="0.25"/>
  <cols>
    <col min="3" max="3" width="42.140625" customWidth="1"/>
  </cols>
  <sheetData>
    <row r="1" spans="1:26" x14ac:dyDescent="0.25">
      <c r="A1" t="s">
        <v>0</v>
      </c>
      <c r="B1" t="s">
        <v>1</v>
      </c>
      <c r="C1" t="s">
        <v>2</v>
      </c>
      <c r="D1" t="s">
        <v>3</v>
      </c>
      <c r="E1" t="s">
        <v>4</v>
      </c>
      <c r="F1" t="s">
        <v>5</v>
      </c>
      <c r="G1" t="s">
        <v>6</v>
      </c>
      <c r="H1" t="s">
        <v>7</v>
      </c>
      <c r="I1" t="s">
        <v>8</v>
      </c>
      <c r="J1" t="s">
        <v>9</v>
      </c>
      <c r="K1" t="s">
        <v>10</v>
      </c>
      <c r="L1" t="s">
        <v>11</v>
      </c>
      <c r="M1" t="s">
        <v>13</v>
      </c>
      <c r="N1" t="s">
        <v>14</v>
      </c>
      <c r="O1" t="s">
        <v>15</v>
      </c>
      <c r="P1" t="s">
        <v>16</v>
      </c>
      <c r="Q1" t="s">
        <v>17</v>
      </c>
      <c r="R1" t="s">
        <v>1639</v>
      </c>
      <c r="S1" t="s">
        <v>21</v>
      </c>
      <c r="T1" t="s">
        <v>22</v>
      </c>
      <c r="U1" t="s">
        <v>23</v>
      </c>
      <c r="V1" t="s">
        <v>24</v>
      </c>
      <c r="W1" t="s">
        <v>25</v>
      </c>
      <c r="X1" t="s">
        <v>26</v>
      </c>
      <c r="Y1" t="s">
        <v>27</v>
      </c>
      <c r="Z1" t="s">
        <v>28</v>
      </c>
    </row>
    <row r="2" spans="1:26" x14ac:dyDescent="0.25">
      <c r="A2" t="s">
        <v>1640</v>
      </c>
      <c r="B2" t="s">
        <v>1447</v>
      </c>
      <c r="C2" t="s">
        <v>1641</v>
      </c>
      <c r="D2" t="s">
        <v>1642</v>
      </c>
      <c r="E2" t="s">
        <v>1643</v>
      </c>
      <c r="F2" t="s">
        <v>176</v>
      </c>
      <c r="G2" t="s">
        <v>177</v>
      </c>
      <c r="I2" t="s">
        <v>35</v>
      </c>
      <c r="J2" t="s">
        <v>144</v>
      </c>
      <c r="M2" t="s">
        <v>39</v>
      </c>
      <c r="O2" t="s">
        <v>105</v>
      </c>
      <c r="P2" t="s">
        <v>57</v>
      </c>
      <c r="T2" t="s">
        <v>1644</v>
      </c>
      <c r="X2" t="s">
        <v>1645</v>
      </c>
    </row>
    <row r="3" spans="1:26" x14ac:dyDescent="0.25">
      <c r="A3" t="s">
        <v>1646</v>
      </c>
      <c r="B3" t="s">
        <v>1647</v>
      </c>
      <c r="C3" t="s">
        <v>1648</v>
      </c>
      <c r="D3" t="s">
        <v>1649</v>
      </c>
      <c r="E3" t="s">
        <v>1650</v>
      </c>
      <c r="F3" t="s">
        <v>119</v>
      </c>
      <c r="G3" t="s">
        <v>1651</v>
      </c>
      <c r="I3" t="s">
        <v>487</v>
      </c>
      <c r="J3" t="s">
        <v>488</v>
      </c>
      <c r="M3" t="s">
        <v>39</v>
      </c>
      <c r="O3" t="s">
        <v>448</v>
      </c>
      <c r="T3" t="s">
        <v>1652</v>
      </c>
      <c r="X3" t="s">
        <v>1653</v>
      </c>
    </row>
    <row r="4" spans="1:26" x14ac:dyDescent="0.25">
      <c r="A4" t="s">
        <v>1654</v>
      </c>
      <c r="C4" t="s">
        <v>1655</v>
      </c>
      <c r="D4" t="s">
        <v>1649</v>
      </c>
      <c r="E4" t="s">
        <v>1656</v>
      </c>
      <c r="F4" t="s">
        <v>190</v>
      </c>
      <c r="G4" t="s">
        <v>1657</v>
      </c>
      <c r="I4" t="s">
        <v>487</v>
      </c>
      <c r="J4" t="s">
        <v>488</v>
      </c>
      <c r="M4" t="s">
        <v>39</v>
      </c>
      <c r="O4" t="s">
        <v>41</v>
      </c>
      <c r="P4" t="s">
        <v>57</v>
      </c>
      <c r="T4" t="s">
        <v>1658</v>
      </c>
      <c r="X4" t="s">
        <v>1653</v>
      </c>
    </row>
    <row r="5" spans="1:26" x14ac:dyDescent="0.25">
      <c r="A5" t="s">
        <v>1659</v>
      </c>
      <c r="C5" t="s">
        <v>1660</v>
      </c>
      <c r="D5" t="s">
        <v>1661</v>
      </c>
      <c r="E5" t="s">
        <v>1662</v>
      </c>
      <c r="F5" t="s">
        <v>741</v>
      </c>
      <c r="G5" t="s">
        <v>1663</v>
      </c>
      <c r="I5" t="s">
        <v>121</v>
      </c>
      <c r="J5" t="s">
        <v>488</v>
      </c>
      <c r="M5" t="s">
        <v>39</v>
      </c>
      <c r="O5" t="s">
        <v>57</v>
      </c>
      <c r="P5" t="s">
        <v>42</v>
      </c>
      <c r="T5" t="s">
        <v>1664</v>
      </c>
      <c r="X5" t="s">
        <v>389</v>
      </c>
    </row>
    <row r="6" spans="1:26" x14ac:dyDescent="0.25">
      <c r="A6" t="s">
        <v>1665</v>
      </c>
      <c r="C6" t="s">
        <v>1666</v>
      </c>
      <c r="D6" t="s">
        <v>1649</v>
      </c>
      <c r="E6" t="s">
        <v>1667</v>
      </c>
      <c r="F6" t="s">
        <v>176</v>
      </c>
      <c r="G6" t="s">
        <v>177</v>
      </c>
      <c r="I6" t="s">
        <v>35</v>
      </c>
      <c r="J6" t="s">
        <v>144</v>
      </c>
      <c r="M6" t="s">
        <v>39</v>
      </c>
      <c r="O6" t="s">
        <v>57</v>
      </c>
      <c r="P6" t="s">
        <v>57</v>
      </c>
      <c r="T6" t="s">
        <v>1668</v>
      </c>
      <c r="X6" t="s">
        <v>288</v>
      </c>
    </row>
    <row r="7" spans="1:26" x14ac:dyDescent="0.25">
      <c r="A7">
        <v>20</v>
      </c>
      <c r="B7" t="s">
        <v>1669</v>
      </c>
      <c r="D7" t="s">
        <v>1642</v>
      </c>
      <c r="F7" t="s">
        <v>190</v>
      </c>
      <c r="G7" t="s">
        <v>1670</v>
      </c>
      <c r="I7" t="s">
        <v>536</v>
      </c>
      <c r="J7" t="s">
        <v>144</v>
      </c>
      <c r="M7" t="s">
        <v>39</v>
      </c>
      <c r="O7" t="s">
        <v>57</v>
      </c>
      <c r="P7" t="s">
        <v>57</v>
      </c>
      <c r="T7" t="s">
        <v>1671</v>
      </c>
      <c r="X7" t="s">
        <v>288</v>
      </c>
    </row>
    <row r="8" spans="1:26" x14ac:dyDescent="0.25">
      <c r="A8" t="s">
        <v>1672</v>
      </c>
      <c r="C8" t="s">
        <v>1673</v>
      </c>
      <c r="D8" t="s">
        <v>1674</v>
      </c>
      <c r="E8" t="s">
        <v>1675</v>
      </c>
      <c r="F8" t="s">
        <v>119</v>
      </c>
      <c r="G8" t="s">
        <v>828</v>
      </c>
      <c r="I8" t="s">
        <v>185</v>
      </c>
      <c r="J8" t="s">
        <v>200</v>
      </c>
      <c r="M8" t="s">
        <v>39</v>
      </c>
      <c r="O8" t="s">
        <v>300</v>
      </c>
      <c r="P8" t="s">
        <v>57</v>
      </c>
      <c r="X8" t="s">
        <v>389</v>
      </c>
    </row>
    <row r="9" spans="1:26" x14ac:dyDescent="0.25">
      <c r="A9">
        <v>38</v>
      </c>
      <c r="B9" t="s">
        <v>1676</v>
      </c>
      <c r="D9" t="s">
        <v>1661</v>
      </c>
      <c r="F9" t="s">
        <v>398</v>
      </c>
      <c r="G9" t="s">
        <v>177</v>
      </c>
      <c r="I9" t="s">
        <v>94</v>
      </c>
      <c r="J9" t="s">
        <v>95</v>
      </c>
      <c r="M9" t="s">
        <v>40</v>
      </c>
      <c r="O9" t="s">
        <v>57</v>
      </c>
      <c r="P9" t="s">
        <v>42</v>
      </c>
      <c r="T9" t="s">
        <v>1677</v>
      </c>
      <c r="X9" t="s">
        <v>1653</v>
      </c>
    </row>
    <row r="10" spans="1:26" x14ac:dyDescent="0.25">
      <c r="A10" t="s">
        <v>1678</v>
      </c>
      <c r="C10" t="s">
        <v>1679</v>
      </c>
      <c r="D10" t="s">
        <v>1642</v>
      </c>
      <c r="E10" t="s">
        <v>1680</v>
      </c>
      <c r="F10" t="s">
        <v>355</v>
      </c>
      <c r="G10" t="s">
        <v>1227</v>
      </c>
      <c r="I10" t="s">
        <v>94</v>
      </c>
      <c r="J10" t="s">
        <v>95</v>
      </c>
      <c r="M10" t="s">
        <v>40</v>
      </c>
      <c r="O10" t="s">
        <v>57</v>
      </c>
      <c r="P10" t="s">
        <v>42</v>
      </c>
      <c r="T10" t="s">
        <v>1681</v>
      </c>
      <c r="X10" t="s">
        <v>288</v>
      </c>
    </row>
    <row r="11" spans="1:26" x14ac:dyDescent="0.25">
      <c r="A11">
        <v>42</v>
      </c>
      <c r="B11" t="s">
        <v>1682</v>
      </c>
      <c r="D11" t="s">
        <v>1674</v>
      </c>
      <c r="E11" t="s">
        <v>1683</v>
      </c>
      <c r="F11" t="s">
        <v>355</v>
      </c>
      <c r="G11" t="s">
        <v>1463</v>
      </c>
      <c r="I11" t="s">
        <v>94</v>
      </c>
      <c r="J11" t="s">
        <v>95</v>
      </c>
      <c r="M11" t="s">
        <v>40</v>
      </c>
      <c r="O11" t="s">
        <v>57</v>
      </c>
      <c r="P11" t="s">
        <v>42</v>
      </c>
      <c r="T11" t="s">
        <v>1684</v>
      </c>
      <c r="X11" t="s">
        <v>288</v>
      </c>
    </row>
    <row r="12" spans="1:26" x14ac:dyDescent="0.25">
      <c r="A12">
        <v>52</v>
      </c>
      <c r="B12" t="s">
        <v>1685</v>
      </c>
      <c r="D12" t="s">
        <v>1661</v>
      </c>
      <c r="E12" t="s">
        <v>1686</v>
      </c>
      <c r="F12" t="s">
        <v>1687</v>
      </c>
      <c r="G12" t="s">
        <v>828</v>
      </c>
      <c r="I12" t="s">
        <v>185</v>
      </c>
      <c r="J12" t="s">
        <v>200</v>
      </c>
      <c r="M12" t="s">
        <v>39</v>
      </c>
      <c r="O12" t="s">
        <v>57</v>
      </c>
      <c r="P12" t="s">
        <v>42</v>
      </c>
      <c r="T12" t="s">
        <v>1688</v>
      </c>
      <c r="X12" t="s">
        <v>288</v>
      </c>
    </row>
    <row r="13" spans="1:26" x14ac:dyDescent="0.25">
      <c r="A13" t="s">
        <v>1689</v>
      </c>
      <c r="B13" t="s">
        <v>1584</v>
      </c>
      <c r="C13" t="s">
        <v>1690</v>
      </c>
      <c r="D13" t="s">
        <v>1674</v>
      </c>
      <c r="E13" t="s">
        <v>1691</v>
      </c>
      <c r="F13" t="s">
        <v>1587</v>
      </c>
      <c r="G13" t="s">
        <v>1578</v>
      </c>
      <c r="I13" t="s">
        <v>35</v>
      </c>
      <c r="J13" t="s">
        <v>144</v>
      </c>
      <c r="M13" t="s">
        <v>39</v>
      </c>
      <c r="O13" t="s">
        <v>41</v>
      </c>
      <c r="P13" t="s">
        <v>57</v>
      </c>
      <c r="T13" t="s">
        <v>1692</v>
      </c>
      <c r="X13" t="s">
        <v>288</v>
      </c>
    </row>
    <row r="14" spans="1:26" x14ac:dyDescent="0.25">
      <c r="A14" t="s">
        <v>1693</v>
      </c>
      <c r="B14" t="s">
        <v>1694</v>
      </c>
      <c r="C14" t="s">
        <v>1695</v>
      </c>
      <c r="D14" t="s">
        <v>1642</v>
      </c>
      <c r="G14" t="s">
        <v>143</v>
      </c>
      <c r="I14" t="s">
        <v>103</v>
      </c>
      <c r="J14" t="s">
        <v>144</v>
      </c>
      <c r="T14" t="s">
        <v>1696</v>
      </c>
      <c r="X14" t="s">
        <v>671</v>
      </c>
    </row>
    <row r="15" spans="1:26" s="14" customFormat="1" x14ac:dyDescent="0.25">
      <c r="A15" s="14">
        <v>78</v>
      </c>
      <c r="B15" s="14" t="s">
        <v>1697</v>
      </c>
      <c r="F15" s="14" t="s">
        <v>448</v>
      </c>
      <c r="G15" s="14" t="s">
        <v>162</v>
      </c>
      <c r="M15" s="14" t="s">
        <v>39</v>
      </c>
      <c r="Q15" s="15"/>
      <c r="R15" s="15"/>
      <c r="T15" s="14" t="s">
        <v>1698</v>
      </c>
      <c r="V15" s="15">
        <v>45422</v>
      </c>
      <c r="W15" s="15"/>
      <c r="X15" s="14" t="s">
        <v>288</v>
      </c>
      <c r="Z15" s="16"/>
    </row>
    <row r="16" spans="1:26" s="14" customFormat="1" x14ac:dyDescent="0.25">
      <c r="A16" s="14">
        <v>99</v>
      </c>
      <c r="B16" s="14" t="s">
        <v>1699</v>
      </c>
      <c r="F16" s="14" t="s">
        <v>142</v>
      </c>
      <c r="G16" s="14" t="s">
        <v>143</v>
      </c>
      <c r="I16" s="14" t="s">
        <v>94</v>
      </c>
      <c r="J16" s="14" t="s">
        <v>70</v>
      </c>
      <c r="M16" s="14" t="s">
        <v>39</v>
      </c>
      <c r="Q16" s="15"/>
      <c r="R16" s="15"/>
      <c r="T16" s="14" t="s">
        <v>1700</v>
      </c>
      <c r="U16" s="14" t="e">
        <f>- merged with the Gender Pay Detailed Analysis work. - Currently with Marie to review the business case that Jarek has put together. MC wants some changes made to the business case but we are also reviewing another option, that allows you to load all sorts of data, from a variety of sources, which could be used for WFP, OD, job architecture, data cleansing etc.</f>
        <v>#NAME?</v>
      </c>
      <c r="V16" s="15">
        <v>45464</v>
      </c>
      <c r="W16" s="15">
        <v>45471</v>
      </c>
      <c r="X16" s="14" t="s">
        <v>288</v>
      </c>
      <c r="Z16" s="16"/>
    </row>
    <row r="17" spans="1:73" ht="105" x14ac:dyDescent="0.25">
      <c r="A17" s="14" t="s">
        <v>1395</v>
      </c>
      <c r="B17" s="2" t="s">
        <v>1636</v>
      </c>
      <c r="C17" s="2"/>
      <c r="D17" s="2" t="s">
        <v>1636</v>
      </c>
      <c r="E17" s="2"/>
      <c r="F17" s="2" t="s">
        <v>190</v>
      </c>
      <c r="G17" s="2" t="s">
        <v>143</v>
      </c>
      <c r="H17" s="2"/>
      <c r="I17" s="2" t="s">
        <v>54</v>
      </c>
      <c r="J17" s="2" t="s">
        <v>144</v>
      </c>
      <c r="K17" s="2" t="s">
        <v>56</v>
      </c>
      <c r="L17" s="2"/>
      <c r="M17" s="118" t="s">
        <v>39</v>
      </c>
      <c r="N17" s="118" t="s">
        <v>40</v>
      </c>
      <c r="O17" s="118" t="s">
        <v>41</v>
      </c>
      <c r="P17" s="118" t="s">
        <v>58</v>
      </c>
      <c r="Q17" s="2" t="s">
        <v>1061</v>
      </c>
      <c r="R17" s="2"/>
      <c r="S17" s="2"/>
      <c r="T17" s="2"/>
      <c r="U17" s="2"/>
      <c r="V17" s="4"/>
      <c r="W17" s="4"/>
      <c r="X17" s="4"/>
      <c r="Y17" s="4"/>
      <c r="Z17" s="4"/>
      <c r="AA17" s="4"/>
      <c r="AB17" s="4"/>
      <c r="AC17" s="4"/>
      <c r="AD17" s="4"/>
      <c r="AE17" s="4">
        <v>1</v>
      </c>
      <c r="AF17" s="4">
        <v>1</v>
      </c>
      <c r="AG17" s="4">
        <v>1</v>
      </c>
      <c r="AH17" s="4">
        <v>1</v>
      </c>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row>
    <row r="18" spans="1:73" s="118" customFormat="1" ht="409.5" x14ac:dyDescent="0.25">
      <c r="A18" s="119">
        <v>159</v>
      </c>
      <c r="B18" s="118" t="s">
        <v>1701</v>
      </c>
      <c r="C18" s="118" t="s">
        <v>1702</v>
      </c>
      <c r="D18" s="118" t="s">
        <v>1703</v>
      </c>
      <c r="F18" s="118" t="s">
        <v>1704</v>
      </c>
      <c r="G18" s="118" t="s">
        <v>563</v>
      </c>
      <c r="H18" s="118" t="s">
        <v>1023</v>
      </c>
      <c r="I18" s="118" t="s">
        <v>54</v>
      </c>
      <c r="J18" s="118" t="s">
        <v>284</v>
      </c>
      <c r="K18" s="118" t="s">
        <v>83</v>
      </c>
      <c r="M18" s="118" t="s">
        <v>266</v>
      </c>
      <c r="N18" s="118" t="s">
        <v>39</v>
      </c>
      <c r="O18" s="118" t="s">
        <v>39</v>
      </c>
      <c r="P18" s="118" t="s">
        <v>41</v>
      </c>
      <c r="Q18" s="118" t="s">
        <v>57</v>
      </c>
      <c r="R18" s="120">
        <v>46184</v>
      </c>
      <c r="S18" s="120"/>
      <c r="T18" s="120">
        <v>45909</v>
      </c>
      <c r="U18" s="120"/>
      <c r="V18" s="118" t="s">
        <v>84</v>
      </c>
      <c r="W18" s="121" t="s">
        <v>1705</v>
      </c>
      <c r="X18" s="121" t="s">
        <v>1706</v>
      </c>
      <c r="Y18" s="120">
        <v>45877</v>
      </c>
      <c r="Z18" s="120">
        <v>45884</v>
      </c>
      <c r="AA18" s="118" t="s">
        <v>709</v>
      </c>
      <c r="AB18" s="118" t="s">
        <v>74</v>
      </c>
      <c r="AC18" s="122"/>
    </row>
    <row r="19" spans="1:73" s="118" customFormat="1" ht="90" x14ac:dyDescent="0.25">
      <c r="A19" s="119" t="s">
        <v>1707</v>
      </c>
      <c r="B19" s="118" t="s">
        <v>374</v>
      </c>
      <c r="C19" s="118" t="s">
        <v>1708</v>
      </c>
      <c r="F19" s="118" t="s">
        <v>1709</v>
      </c>
      <c r="I19" s="118" t="s">
        <v>94</v>
      </c>
      <c r="J19" s="118" t="s">
        <v>70</v>
      </c>
      <c r="K19" s="118" t="s">
        <v>83</v>
      </c>
      <c r="R19" s="120"/>
      <c r="S19" s="120"/>
      <c r="T19" s="120"/>
      <c r="U19" s="120"/>
      <c r="Y19" s="120"/>
      <c r="Z19" s="120"/>
      <c r="AA19" s="118" t="s">
        <v>389</v>
      </c>
      <c r="AC19" s="122"/>
    </row>
    <row r="20" spans="1:73" s="118" customFormat="1" ht="165" x14ac:dyDescent="0.25">
      <c r="A20" s="119" t="s">
        <v>1710</v>
      </c>
      <c r="B20" s="118" t="s">
        <v>374</v>
      </c>
      <c r="C20" s="118" t="s">
        <v>1711</v>
      </c>
      <c r="F20" s="118" t="s">
        <v>377</v>
      </c>
      <c r="I20" s="118" t="s">
        <v>185</v>
      </c>
      <c r="J20" s="118" t="s">
        <v>70</v>
      </c>
      <c r="K20" s="118" t="s">
        <v>83</v>
      </c>
      <c r="R20" s="120"/>
      <c r="S20" s="120"/>
      <c r="T20" s="120"/>
      <c r="U20" s="120"/>
      <c r="W20" s="118" t="s">
        <v>1712</v>
      </c>
      <c r="Y20" s="120"/>
      <c r="Z20" s="120"/>
      <c r="AA20" s="118" t="s">
        <v>389</v>
      </c>
      <c r="AC20" s="122"/>
    </row>
    <row r="21" spans="1:73" s="118" customFormat="1" ht="111.95" customHeight="1" x14ac:dyDescent="0.25">
      <c r="A21" s="119" t="s">
        <v>1713</v>
      </c>
      <c r="B21" s="118" t="s">
        <v>374</v>
      </c>
      <c r="C21" s="118" t="s">
        <v>1714</v>
      </c>
      <c r="F21" s="118" t="s">
        <v>377</v>
      </c>
      <c r="I21" s="118" t="s">
        <v>185</v>
      </c>
      <c r="J21" s="118" t="s">
        <v>70</v>
      </c>
      <c r="K21" s="118" t="s">
        <v>83</v>
      </c>
      <c r="R21" s="120"/>
      <c r="S21" s="120"/>
      <c r="T21" s="120"/>
      <c r="U21" s="120"/>
      <c r="Y21" s="120"/>
      <c r="Z21" s="120"/>
      <c r="AA21" s="118" t="s">
        <v>389</v>
      </c>
      <c r="AC21" s="122"/>
    </row>
    <row r="22" spans="1:73" s="118" customFormat="1" ht="120" x14ac:dyDescent="0.25">
      <c r="A22" s="119" t="s">
        <v>1715</v>
      </c>
      <c r="B22" s="118" t="s">
        <v>374</v>
      </c>
      <c r="C22" s="118" t="s">
        <v>1716</v>
      </c>
      <c r="F22" s="118" t="s">
        <v>1709</v>
      </c>
      <c r="I22" s="118" t="s">
        <v>121</v>
      </c>
      <c r="J22" s="118" t="s">
        <v>70</v>
      </c>
      <c r="K22" s="118" t="s">
        <v>83</v>
      </c>
      <c r="R22" s="120"/>
      <c r="S22" s="120"/>
      <c r="T22" s="120"/>
      <c r="U22" s="120"/>
      <c r="Y22" s="120"/>
      <c r="Z22" s="120"/>
      <c r="AA22" s="118" t="s">
        <v>389</v>
      </c>
      <c r="AC22" s="122"/>
    </row>
    <row r="23" spans="1:73" s="118" customFormat="1" ht="225" x14ac:dyDescent="0.25">
      <c r="A23" s="119" t="s">
        <v>1717</v>
      </c>
      <c r="B23" s="118" t="s">
        <v>374</v>
      </c>
      <c r="C23" s="118" t="s">
        <v>1718</v>
      </c>
      <c r="F23" s="118" t="s">
        <v>377</v>
      </c>
      <c r="I23" s="118" t="s">
        <v>185</v>
      </c>
      <c r="J23" s="118" t="s">
        <v>70</v>
      </c>
      <c r="K23" s="118" t="s">
        <v>83</v>
      </c>
      <c r="R23" s="120"/>
      <c r="S23" s="120"/>
      <c r="T23" s="120"/>
      <c r="U23" s="120"/>
      <c r="W23" s="118" t="s">
        <v>1719</v>
      </c>
      <c r="Y23" s="120"/>
      <c r="Z23" s="120"/>
      <c r="AA23" s="118" t="s">
        <v>389</v>
      </c>
      <c r="AC23" s="122"/>
    </row>
    <row r="24" spans="1:73" s="118" customFormat="1" ht="196.5" customHeight="1" x14ac:dyDescent="0.25">
      <c r="A24" s="119" t="s">
        <v>1720</v>
      </c>
      <c r="B24" s="118" t="s">
        <v>1211</v>
      </c>
      <c r="C24" s="118" t="s">
        <v>1721</v>
      </c>
      <c r="E24" s="118" t="s">
        <v>1213</v>
      </c>
      <c r="F24" s="118" t="s">
        <v>119</v>
      </c>
      <c r="I24" s="118" t="s">
        <v>82</v>
      </c>
      <c r="J24" s="118" t="s">
        <v>70</v>
      </c>
      <c r="K24" s="118" t="s">
        <v>83</v>
      </c>
      <c r="N24" s="118" t="s">
        <v>39</v>
      </c>
      <c r="O24" s="118" t="s">
        <v>40</v>
      </c>
      <c r="P24" s="118" t="s">
        <v>57</v>
      </c>
      <c r="Q24" s="118" t="s">
        <v>57</v>
      </c>
      <c r="R24" s="120"/>
      <c r="S24" s="120"/>
      <c r="T24" s="120"/>
      <c r="U24" s="120"/>
      <c r="V24" s="118" t="s">
        <v>96</v>
      </c>
      <c r="W24" s="118" t="s">
        <v>1722</v>
      </c>
      <c r="X24" s="118" t="s">
        <v>1723</v>
      </c>
      <c r="Y24" s="120">
        <v>45485</v>
      </c>
      <c r="Z24" s="120"/>
      <c r="AA24" s="118" t="s">
        <v>389</v>
      </c>
      <c r="AC24" s="122"/>
    </row>
    <row r="25" spans="1:73" s="118" customFormat="1" ht="409.5" x14ac:dyDescent="0.25">
      <c r="A25" s="119" t="s">
        <v>1724</v>
      </c>
      <c r="B25" s="118" t="s">
        <v>1211</v>
      </c>
      <c r="C25" s="118" t="s">
        <v>1014</v>
      </c>
      <c r="E25" s="118" t="s">
        <v>1725</v>
      </c>
      <c r="F25" s="118" t="s">
        <v>119</v>
      </c>
      <c r="I25" s="118" t="s">
        <v>103</v>
      </c>
      <c r="J25" s="118" t="s">
        <v>70</v>
      </c>
      <c r="K25" s="118" t="s">
        <v>83</v>
      </c>
      <c r="N25" s="118" t="s">
        <v>39</v>
      </c>
      <c r="O25" s="118" t="s">
        <v>40</v>
      </c>
      <c r="P25" s="118" t="s">
        <v>57</v>
      </c>
      <c r="Q25" s="118" t="s">
        <v>344</v>
      </c>
      <c r="R25" s="120"/>
      <c r="S25" s="120"/>
      <c r="T25" s="120"/>
      <c r="U25" s="120"/>
      <c r="V25" s="118" t="s">
        <v>96</v>
      </c>
      <c r="W25" s="118" t="s">
        <v>1722</v>
      </c>
      <c r="X25" s="118" t="s">
        <v>1723</v>
      </c>
      <c r="Y25" s="120">
        <v>45485</v>
      </c>
      <c r="Z25" s="120"/>
      <c r="AA25" s="118" t="s">
        <v>389</v>
      </c>
      <c r="AC25" s="122"/>
    </row>
    <row r="26" spans="1:73" s="118" customFormat="1" ht="36" customHeight="1" x14ac:dyDescent="0.25">
      <c r="A26" s="119">
        <v>104</v>
      </c>
      <c r="B26" s="118" t="s">
        <v>1726</v>
      </c>
      <c r="F26" s="118" t="s">
        <v>119</v>
      </c>
      <c r="G26" s="118" t="s">
        <v>494</v>
      </c>
      <c r="H26" s="118" t="s">
        <v>519</v>
      </c>
      <c r="I26" s="118" t="s">
        <v>54</v>
      </c>
      <c r="J26" s="118" t="s">
        <v>138</v>
      </c>
      <c r="K26" s="118" t="s">
        <v>83</v>
      </c>
      <c r="L26" s="118" t="s">
        <v>113</v>
      </c>
      <c r="N26" s="118" t="s">
        <v>39</v>
      </c>
      <c r="O26" s="118" t="s">
        <v>40</v>
      </c>
      <c r="R26" s="120"/>
      <c r="S26" s="120"/>
      <c r="T26" s="120"/>
      <c r="U26" s="120"/>
      <c r="W26" s="118" t="s">
        <v>1727</v>
      </c>
      <c r="Y26" s="120">
        <v>45485</v>
      </c>
      <c r="Z26" s="120"/>
      <c r="AA26" s="118" t="s">
        <v>389</v>
      </c>
      <c r="AC26" s="122"/>
    </row>
    <row r="27" spans="1:73" s="118" customFormat="1" ht="105" x14ac:dyDescent="0.25">
      <c r="A27" s="119" t="s">
        <v>1728</v>
      </c>
      <c r="B27" s="118" t="s">
        <v>1729</v>
      </c>
      <c r="D27" s="118" t="s">
        <v>579</v>
      </c>
      <c r="F27" s="118" t="s">
        <v>576</v>
      </c>
      <c r="G27" s="118" t="s">
        <v>143</v>
      </c>
      <c r="I27" s="118" t="s">
        <v>82</v>
      </c>
      <c r="J27" s="118" t="s">
        <v>55</v>
      </c>
      <c r="K27" s="118" t="s">
        <v>56</v>
      </c>
      <c r="L27" s="118" t="s">
        <v>104</v>
      </c>
      <c r="M27" s="118" t="s">
        <v>855</v>
      </c>
      <c r="N27" s="118" t="s">
        <v>39</v>
      </c>
      <c r="P27" s="118" t="s">
        <v>41</v>
      </c>
      <c r="Q27" s="118" t="s">
        <v>58</v>
      </c>
      <c r="R27" s="120">
        <v>45901</v>
      </c>
      <c r="S27" s="120"/>
      <c r="T27" s="120">
        <v>45961</v>
      </c>
      <c r="U27" s="120"/>
      <c r="V27" s="118" t="s">
        <v>96</v>
      </c>
      <c r="X27" s="121"/>
      <c r="Y27" s="120">
        <v>45930</v>
      </c>
      <c r="Z27" s="120">
        <v>45930</v>
      </c>
      <c r="AA27" s="118" t="s">
        <v>671</v>
      </c>
      <c r="AB27" s="118" t="s">
        <v>514</v>
      </c>
      <c r="AC27" s="122"/>
    </row>
    <row r="28" spans="1:73" s="118" customFormat="1" ht="289.5" customHeight="1" x14ac:dyDescent="0.25">
      <c r="A28" s="119" t="s">
        <v>1730</v>
      </c>
      <c r="B28" s="118" t="s">
        <v>260</v>
      </c>
      <c r="C28" s="118" t="s">
        <v>1731</v>
      </c>
      <c r="D28" s="118" t="s">
        <v>1732</v>
      </c>
      <c r="E28" s="118" t="s">
        <v>263</v>
      </c>
      <c r="F28" s="118" t="s">
        <v>91</v>
      </c>
      <c r="G28" s="118" t="s">
        <v>264</v>
      </c>
      <c r="H28" s="118" t="s">
        <v>265</v>
      </c>
      <c r="I28" s="118" t="s">
        <v>94</v>
      </c>
      <c r="J28" s="118" t="s">
        <v>95</v>
      </c>
      <c r="K28" s="118" t="s">
        <v>83</v>
      </c>
      <c r="M28" s="118" t="s">
        <v>266</v>
      </c>
      <c r="N28" s="118" t="s">
        <v>39</v>
      </c>
      <c r="P28" s="118" t="s">
        <v>57</v>
      </c>
      <c r="Q28" s="118" t="s">
        <v>57</v>
      </c>
      <c r="R28" s="120">
        <v>45873</v>
      </c>
      <c r="S28" s="120">
        <v>45961</v>
      </c>
      <c r="T28" s="120">
        <v>46009</v>
      </c>
      <c r="U28" s="120"/>
      <c r="V28" s="118" t="s">
        <v>96</v>
      </c>
      <c r="W28" s="121" t="s">
        <v>1733</v>
      </c>
      <c r="X28" s="121" t="s">
        <v>1734</v>
      </c>
      <c r="Y28" s="120">
        <v>45954</v>
      </c>
      <c r="Z28" s="120">
        <v>45961</v>
      </c>
      <c r="AA28" s="118" t="s">
        <v>308</v>
      </c>
      <c r="AB28" s="118" t="s">
        <v>74</v>
      </c>
      <c r="AC28" s="122"/>
    </row>
    <row r="29" spans="1:73" s="118" customFormat="1" ht="39.75" customHeight="1" x14ac:dyDescent="0.25">
      <c r="A29" s="119">
        <v>92</v>
      </c>
      <c r="B29" s="118" t="s">
        <v>1735</v>
      </c>
      <c r="D29" s="118" t="s">
        <v>1736</v>
      </c>
      <c r="G29" s="118" t="s">
        <v>33</v>
      </c>
      <c r="H29" s="118" t="s">
        <v>34</v>
      </c>
      <c r="I29" s="118" t="s">
        <v>185</v>
      </c>
      <c r="J29" s="118" t="s">
        <v>36</v>
      </c>
      <c r="K29" s="118" t="s">
        <v>37</v>
      </c>
      <c r="M29" s="118" t="s">
        <v>1735</v>
      </c>
      <c r="N29" s="118" t="s">
        <v>39</v>
      </c>
      <c r="O29" s="118" t="s">
        <v>40</v>
      </c>
      <c r="P29" s="118" t="s">
        <v>57</v>
      </c>
      <c r="Q29" s="118" t="s">
        <v>42</v>
      </c>
      <c r="R29" s="120"/>
      <c r="S29" s="120"/>
      <c r="T29" s="120"/>
      <c r="U29" s="120"/>
      <c r="Y29" s="120">
        <v>45954</v>
      </c>
      <c r="Z29" s="120"/>
      <c r="AA29" s="118" t="s">
        <v>671</v>
      </c>
      <c r="AB29" s="118" t="s">
        <v>514</v>
      </c>
      <c r="AC29" s="122"/>
    </row>
    <row r="30" spans="1:73" s="118" customFormat="1" ht="409.5" x14ac:dyDescent="0.25">
      <c r="A30" s="142">
        <v>93</v>
      </c>
      <c r="B30" s="121" t="s">
        <v>1737</v>
      </c>
      <c r="C30" s="121"/>
      <c r="D30" s="121" t="s">
        <v>1738</v>
      </c>
      <c r="E30" s="121"/>
      <c r="F30" s="121"/>
      <c r="G30" s="121"/>
      <c r="H30" s="121"/>
      <c r="I30" s="121"/>
      <c r="J30" s="121" t="s">
        <v>36</v>
      </c>
      <c r="K30" s="121" t="s">
        <v>37</v>
      </c>
      <c r="L30" s="121"/>
      <c r="M30" s="121" t="s">
        <v>1739</v>
      </c>
      <c r="N30" s="121" t="s">
        <v>39</v>
      </c>
      <c r="O30" s="121" t="s">
        <v>40</v>
      </c>
      <c r="P30" s="121" t="s">
        <v>57</v>
      </c>
      <c r="Q30" s="121" t="s">
        <v>42</v>
      </c>
      <c r="R30" s="124"/>
      <c r="S30" s="124"/>
      <c r="T30" s="124"/>
      <c r="U30" s="121"/>
      <c r="V30" s="121"/>
      <c r="W30" s="121" t="s">
        <v>1740</v>
      </c>
      <c r="X30" s="121"/>
      <c r="Y30" s="120">
        <v>46052</v>
      </c>
      <c r="Z30" s="120">
        <v>46059</v>
      </c>
      <c r="AA30" s="118" t="s">
        <v>671</v>
      </c>
      <c r="AB30" s="118" t="s">
        <v>514</v>
      </c>
      <c r="AC30" s="122"/>
    </row>
  </sheetData>
  <conditionalFormatting sqref="V17:BU17">
    <cfRule type="cellIs" dxfId="68" priority="49" operator="greaterThan">
      <formula>0</formula>
    </cfRule>
  </conditionalFormatting>
  <conditionalFormatting sqref="M17:P17">
    <cfRule type="expression" dxfId="67" priority="45" stopIfTrue="1">
      <formula>$AA17="Complete"</formula>
    </cfRule>
    <cfRule type="expression" dxfId="66" priority="46" stopIfTrue="1">
      <formula>$AA17="On Hold"</formula>
    </cfRule>
    <cfRule type="expression" dxfId="65" priority="47" stopIfTrue="1">
      <formula>AND($T17&lt;&gt;"",$T17&lt;=TODAY())</formula>
    </cfRule>
    <cfRule type="expression" dxfId="64" priority="48" stopIfTrue="1">
      <formula>AND($Z17&lt;&gt;"",$Z17&lt;=TODAY())</formula>
    </cfRule>
  </conditionalFormatting>
  <conditionalFormatting sqref="A18:AC18">
    <cfRule type="expression" dxfId="63" priority="41" stopIfTrue="1">
      <formula>$AA18="Complete"</formula>
    </cfRule>
    <cfRule type="expression" dxfId="62" priority="42" stopIfTrue="1">
      <formula>$AA18="On Hold"</formula>
    </cfRule>
    <cfRule type="expression" dxfId="61" priority="43" stopIfTrue="1">
      <formula>AND($T18&lt;&gt;"",$T18&lt;=TODAY())</formula>
    </cfRule>
    <cfRule type="expression" dxfId="60" priority="44" stopIfTrue="1">
      <formula>AND($Z18&lt;&gt;"",$Z18&lt;=TODAY())</formula>
    </cfRule>
  </conditionalFormatting>
  <conditionalFormatting sqref="A19:AC23">
    <cfRule type="expression" dxfId="59" priority="37" stopIfTrue="1">
      <formula>$AA19="Complete"</formula>
    </cfRule>
    <cfRule type="expression" dxfId="58" priority="38" stopIfTrue="1">
      <formula>$AA19="On Hold"</formula>
    </cfRule>
    <cfRule type="expression" dxfId="57" priority="39" stopIfTrue="1">
      <formula>AND($T19&lt;&gt;"",$T19&lt;=TODAY())</formula>
    </cfRule>
    <cfRule type="expression" dxfId="56" priority="40" stopIfTrue="1">
      <formula>AND($Z19&lt;&gt;"",$Z19&lt;=TODAY())</formula>
    </cfRule>
  </conditionalFormatting>
  <conditionalFormatting sqref="A24:AC24">
    <cfRule type="expression" dxfId="55" priority="33" stopIfTrue="1">
      <formula>$AA24="Complete"</formula>
    </cfRule>
    <cfRule type="expression" dxfId="54" priority="34" stopIfTrue="1">
      <formula>$AA24="On Hold"</formula>
    </cfRule>
    <cfRule type="expression" dxfId="53" priority="35" stopIfTrue="1">
      <formula>AND($T24&lt;&gt;"",$T24&lt;=TODAY())</formula>
    </cfRule>
    <cfRule type="expression" dxfId="52" priority="36" stopIfTrue="1">
      <formula>AND($Z24&lt;&gt;"",$Z24&lt;=TODAY())</formula>
    </cfRule>
  </conditionalFormatting>
  <conditionalFormatting sqref="A25:AC25">
    <cfRule type="expression" dxfId="51" priority="29" stopIfTrue="1">
      <formula>$AA25="Complete"</formula>
    </cfRule>
    <cfRule type="expression" dxfId="50" priority="30" stopIfTrue="1">
      <formula>$AA25="On Hold"</formula>
    </cfRule>
    <cfRule type="expression" dxfId="49" priority="31" stopIfTrue="1">
      <formula>AND($T25&lt;&gt;"",$T25&lt;=TODAY())</formula>
    </cfRule>
    <cfRule type="expression" dxfId="48" priority="32" stopIfTrue="1">
      <formula>AND($Z25&lt;&gt;"",$Z25&lt;=TODAY())</formula>
    </cfRule>
  </conditionalFormatting>
  <conditionalFormatting sqref="A26:AC26">
    <cfRule type="expression" dxfId="47" priority="25" stopIfTrue="1">
      <formula>$AA26="Complete"</formula>
    </cfRule>
    <cfRule type="expression" dxfId="46" priority="26" stopIfTrue="1">
      <formula>$AA26="On Hold"</formula>
    </cfRule>
    <cfRule type="expression" dxfId="45" priority="27" stopIfTrue="1">
      <formula>AND($T26&lt;&gt;"",$T26&lt;=TODAY())</formula>
    </cfRule>
    <cfRule type="expression" dxfId="44" priority="28" stopIfTrue="1">
      <formula>AND($Z26&lt;&gt;"",$Z26&lt;=TODAY())</formula>
    </cfRule>
  </conditionalFormatting>
  <conditionalFormatting sqref="A27:AC27">
    <cfRule type="expression" dxfId="43" priority="21" stopIfTrue="1">
      <formula>$AA27="Complete"</formula>
    </cfRule>
    <cfRule type="expression" dxfId="42" priority="22" stopIfTrue="1">
      <formula>$AA27="On Hold"</formula>
    </cfRule>
    <cfRule type="expression" dxfId="41" priority="23" stopIfTrue="1">
      <formula>AND($T27&lt;&gt;"",$T27&lt;=TODAY())</formula>
    </cfRule>
    <cfRule type="expression" dxfId="40" priority="24" stopIfTrue="1">
      <formula>AND($Z27&lt;&gt;"",$Z27&lt;=TODAY())</formula>
    </cfRule>
  </conditionalFormatting>
  <conditionalFormatting sqref="A28:AC28">
    <cfRule type="expression" dxfId="39" priority="17" stopIfTrue="1">
      <formula>$AA28="Complete"</formula>
    </cfRule>
    <cfRule type="expression" dxfId="38" priority="18" stopIfTrue="1">
      <formula>$AA28="On Hold"</formula>
    </cfRule>
    <cfRule type="expression" dxfId="37" priority="19" stopIfTrue="1">
      <formula>AND($T28&lt;&gt;"",$T28&lt;=TODAY())</formula>
    </cfRule>
    <cfRule type="expression" dxfId="36" priority="20" stopIfTrue="1">
      <formula>AND($Z28&lt;&gt;"",$Z28&lt;=TODAY())</formula>
    </cfRule>
  </conditionalFormatting>
  <conditionalFormatting sqref="A29:AC29">
    <cfRule type="expression" dxfId="35" priority="13" stopIfTrue="1">
      <formula>$AA29="Complete"</formula>
    </cfRule>
    <cfRule type="expression" dxfId="34" priority="14" stopIfTrue="1">
      <formula>$AA29="On Hold"</formula>
    </cfRule>
    <cfRule type="expression" dxfId="33" priority="15" stopIfTrue="1">
      <formula>AND($T29&lt;&gt;"",$T29&lt;=TODAY())</formula>
    </cfRule>
    <cfRule type="expression" dxfId="32" priority="16" stopIfTrue="1">
      <formula>AND($Z29&lt;&gt;"",$Z29&lt;=TODAY())</formula>
    </cfRule>
  </conditionalFormatting>
  <conditionalFormatting sqref="A30:AC30">
    <cfRule type="expression" dxfId="31" priority="9" stopIfTrue="1">
      <formula>$AA30="Complete"</formula>
    </cfRule>
    <cfRule type="expression" dxfId="30" priority="10" stopIfTrue="1">
      <formula>$AA30="On Hold"</formula>
    </cfRule>
    <cfRule type="expression" dxfId="29" priority="11" stopIfTrue="1">
      <formula>AND($T30&lt;&gt;"",$T30&lt;=TODAY())</formula>
    </cfRule>
    <cfRule type="expression" dxfId="28" priority="12" stopIfTrue="1">
      <formula>AND($Z30&lt;&gt;"",$Z30&lt;=TODAY())</formula>
    </cfRule>
  </conditionalFormatting>
  <conditionalFormatting sqref="Z30">
    <cfRule type="expression" dxfId="27" priority="5" stopIfTrue="1">
      <formula>$AA30="Complete"</formula>
    </cfRule>
    <cfRule type="expression" dxfId="26" priority="6" stopIfTrue="1">
      <formula>$AA30="On Hold"</formula>
    </cfRule>
    <cfRule type="expression" dxfId="25" priority="7" stopIfTrue="1">
      <formula>AND($T30&lt;&gt;"",$T30&lt;=TODAY())</formula>
    </cfRule>
    <cfRule type="expression" dxfId="24" priority="8" stopIfTrue="1">
      <formula>AND($Z30&lt;&gt;"",$Z30&lt;=TODAY())</formula>
    </cfRule>
  </conditionalFormatting>
  <conditionalFormatting sqref="A30:W30">
    <cfRule type="expression" dxfId="23" priority="1" stopIfTrue="1">
      <formula>$AA30="Complete"</formula>
    </cfRule>
    <cfRule type="expression" dxfId="22" priority="2" stopIfTrue="1">
      <formula>$AA30="On Hold"</formula>
    </cfRule>
    <cfRule type="expression" dxfId="21" priority="3" stopIfTrue="1">
      <formula>AND($T30&lt;&gt;"",$T30&lt;=TODAY())</formula>
    </cfRule>
    <cfRule type="expression" dxfId="20" priority="4" stopIfTrue="1">
      <formula>AND($Z30&lt;&gt;"",$Z30&lt;=TODAY())</formula>
    </cfRule>
  </conditionalFormatting>
  <dataValidations count="12">
    <dataValidation type="list" allowBlank="1" showInputMessage="1" showErrorMessage="1" sqref="S15:S16 U17 V18:V30" xr:uid="{5F2024F7-21CA-4EA4-9DB0-113A1676768F}">
      <formula1>DEADLINE_TYPE</formula1>
    </dataValidation>
    <dataValidation type="list" allowBlank="1" showInputMessage="1" showErrorMessage="1" sqref="Y15:Y16 AB18:AB30" xr:uid="{FD5C4394-1663-4D59-A008-0387E49A6ADB}">
      <formula1>STATUS_DETAIL</formula1>
    </dataValidation>
    <dataValidation type="list" allowBlank="1" showInputMessage="1" showErrorMessage="1" sqref="P15:P17 Q18:Q30" xr:uid="{4FA79487-7C08-481B-A2A5-88EF81948278}">
      <formula1>EFFORT</formula1>
    </dataValidation>
    <dataValidation type="list" allowBlank="1" showInputMessage="1" showErrorMessage="1" sqref="O15:O17 P18:P26 P28:P30" xr:uid="{A5386624-B1CA-4616-A3CA-78326237F023}">
      <formula1>PRIORITY</formula1>
    </dataValidation>
    <dataValidation type="list" allowBlank="1" showInputMessage="1" showErrorMessage="1" sqref="M15:N17 N18:O26 N28:O30" xr:uid="{90CF0359-4A24-4E80-9170-DAD8B913EC8F}">
      <formula1>YESNO</formula1>
    </dataValidation>
    <dataValidation type="list" allowBlank="1" showInputMessage="1" showErrorMessage="1" sqref="L15:L16 L18:L30" xr:uid="{FEBB200A-E22F-44D4-A545-36A9F78B1D01}">
      <formula1>STATEGIC_PRIORITY</formula1>
    </dataValidation>
    <dataValidation type="list" allowBlank="1" showInputMessage="1" showErrorMessage="1" sqref="J15:J30" xr:uid="{C48EA2EE-7F8D-42E9-9CBD-CB4B28B30C2A}">
      <formula1>CATEGORY</formula1>
    </dataValidation>
    <dataValidation type="list" allowBlank="1" showInputMessage="1" showErrorMessage="1" sqref="K15:K16 K18:K26 K28:K30" xr:uid="{2472C845-F49C-4E8E-A9D5-43721E8DEDED}">
      <formula1>TYPE</formula1>
    </dataValidation>
    <dataValidation type="list" allowBlank="1" showInputMessage="1" showErrorMessage="1" sqref="I15:I16 I18:I26 I28:I30" xr:uid="{84C24F46-F949-450C-A69D-E77D803AAE99}">
      <formula1>P_MANDATE</formula1>
    </dataValidation>
    <dataValidation type="list" allowBlank="1" showInputMessage="1" showErrorMessage="1" sqref="X15:X16 AA18:AA30" xr:uid="{B565E7F7-0A7A-4222-B705-1044442A9E4D}">
      <formula1>STATUS</formula1>
    </dataValidation>
    <dataValidation type="list" allowBlank="1" showInputMessage="1" showErrorMessage="1" sqref="I17 I27" xr:uid="{291EAFB0-C930-4D06-87BA-4C9AAC3CD58B}">
      <formula1>mandate</formula1>
    </dataValidation>
    <dataValidation type="list" allowBlank="1" showInputMessage="1" showErrorMessage="1" sqref="P27" xr:uid="{8C3CA4A1-13CC-4A96-8F8B-5C1DEED445EF}">
      <formula1>bus_priority</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0868C-A09D-4DA9-9065-8F488D13541D}">
  <sheetPr codeName="Sheet6">
    <tabColor theme="4" tint="0.39997558519241921"/>
  </sheetPr>
  <dimension ref="A1:C11"/>
  <sheetViews>
    <sheetView workbookViewId="0">
      <selection activeCell="B9" sqref="B9"/>
    </sheetView>
  </sheetViews>
  <sheetFormatPr defaultColWidth="9.140625" defaultRowHeight="15" x14ac:dyDescent="0.25"/>
  <cols>
    <col min="1" max="1" width="13.140625" style="17" bestFit="1" customWidth="1"/>
    <col min="2" max="2" width="24.140625" style="17" bestFit="1" customWidth="1"/>
    <col min="3" max="3" width="79.42578125" style="17" bestFit="1" customWidth="1"/>
    <col min="4" max="16384" width="9.140625" style="17"/>
  </cols>
  <sheetData>
    <row r="1" spans="1:3" x14ac:dyDescent="0.25">
      <c r="A1" s="18" t="s">
        <v>1741</v>
      </c>
      <c r="B1" s="18" t="s">
        <v>1742</v>
      </c>
      <c r="C1" s="19" t="s">
        <v>1743</v>
      </c>
    </row>
    <row r="2" spans="1:3" ht="45" x14ac:dyDescent="0.25">
      <c r="A2" s="143" t="s">
        <v>1744</v>
      </c>
      <c r="B2" s="20" t="s">
        <v>1745</v>
      </c>
      <c r="C2" s="21" t="s">
        <v>1746</v>
      </c>
    </row>
    <row r="3" spans="1:3" ht="30" x14ac:dyDescent="0.25">
      <c r="A3" s="143"/>
      <c r="B3" s="20" t="s">
        <v>1747</v>
      </c>
      <c r="C3" s="21" t="s">
        <v>1748</v>
      </c>
    </row>
    <row r="4" spans="1:3" ht="45" x14ac:dyDescent="0.25">
      <c r="A4" s="143"/>
      <c r="B4" s="20" t="s">
        <v>1749</v>
      </c>
      <c r="C4" s="21" t="s">
        <v>1750</v>
      </c>
    </row>
    <row r="5" spans="1:3" ht="45" x14ac:dyDescent="0.25">
      <c r="A5" s="144" t="s">
        <v>1751</v>
      </c>
      <c r="B5" s="22" t="s">
        <v>1752</v>
      </c>
      <c r="C5" s="23" t="s">
        <v>1753</v>
      </c>
    </row>
    <row r="6" spans="1:3" ht="30" x14ac:dyDescent="0.25">
      <c r="A6" s="144"/>
      <c r="B6" s="22" t="s">
        <v>1754</v>
      </c>
      <c r="C6" s="23" t="s">
        <v>1755</v>
      </c>
    </row>
    <row r="7" spans="1:3" ht="30" x14ac:dyDescent="0.25">
      <c r="A7" s="144"/>
      <c r="B7" s="22" t="s">
        <v>1756</v>
      </c>
      <c r="C7" s="23" t="s">
        <v>1757</v>
      </c>
    </row>
    <row r="8" spans="1:3" ht="30" x14ac:dyDescent="0.25">
      <c r="A8" s="143" t="s">
        <v>1758</v>
      </c>
      <c r="B8" s="20" t="s">
        <v>1759</v>
      </c>
      <c r="C8" s="21" t="s">
        <v>1760</v>
      </c>
    </row>
    <row r="9" spans="1:3" ht="45" x14ac:dyDescent="0.25">
      <c r="A9" s="143"/>
      <c r="B9" s="20" t="s">
        <v>1761</v>
      </c>
      <c r="C9" s="21" t="s">
        <v>1762</v>
      </c>
    </row>
    <row r="10" spans="1:3" ht="45" x14ac:dyDescent="0.25">
      <c r="A10" s="143"/>
      <c r="B10" s="20" t="s">
        <v>1763</v>
      </c>
      <c r="C10" s="21" t="s">
        <v>1764</v>
      </c>
    </row>
    <row r="11" spans="1:3" ht="30" x14ac:dyDescent="0.25">
      <c r="A11" s="143"/>
      <c r="B11" s="20" t="s">
        <v>1765</v>
      </c>
      <c r="C11" s="21" t="s">
        <v>1766</v>
      </c>
    </row>
  </sheetData>
  <mergeCells count="3">
    <mergeCell ref="A2:A4"/>
    <mergeCell ref="A5:A7"/>
    <mergeCell ref="A8:A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D6243-5A69-4009-8FC7-ABA6EC8CA8C2}">
  <sheetPr codeName="Sheet7">
    <tabColor theme="4" tint="0.39997558519241921"/>
  </sheetPr>
  <dimension ref="A1:D18"/>
  <sheetViews>
    <sheetView workbookViewId="0">
      <selection activeCell="A2" sqref="A2:A4"/>
    </sheetView>
  </sheetViews>
  <sheetFormatPr defaultColWidth="9.140625" defaultRowHeight="15" x14ac:dyDescent="0.25"/>
  <cols>
    <col min="1" max="1" width="13.42578125" style="54" customWidth="1"/>
    <col min="2" max="2" width="6.42578125" style="55" customWidth="1"/>
    <col min="3" max="3" width="35.140625" style="2" customWidth="1"/>
    <col min="4" max="4" width="99.85546875" style="14" customWidth="1"/>
    <col min="5" max="16384" width="9.140625" style="17"/>
  </cols>
  <sheetData>
    <row r="1" spans="1:4" x14ac:dyDescent="0.25">
      <c r="A1" s="24" t="s">
        <v>1741</v>
      </c>
      <c r="B1" s="157" t="s">
        <v>1767</v>
      </c>
      <c r="C1" s="158"/>
      <c r="D1" s="25" t="s">
        <v>1768</v>
      </c>
    </row>
    <row r="2" spans="1:4" ht="75" x14ac:dyDescent="0.25">
      <c r="A2" s="159" t="s">
        <v>1769</v>
      </c>
      <c r="B2" s="26">
        <v>1</v>
      </c>
      <c r="C2" s="27" t="s">
        <v>1770</v>
      </c>
      <c r="D2" s="161" t="s">
        <v>1771</v>
      </c>
    </row>
    <row r="3" spans="1:4" ht="75" x14ac:dyDescent="0.25">
      <c r="A3" s="159"/>
      <c r="B3" s="26">
        <v>2</v>
      </c>
      <c r="C3" s="27" t="s">
        <v>1772</v>
      </c>
      <c r="D3" s="161"/>
    </row>
    <row r="4" spans="1:4" ht="45.75" thickBot="1" x14ac:dyDescent="0.3">
      <c r="A4" s="160"/>
      <c r="B4" s="28">
        <v>3</v>
      </c>
      <c r="C4" s="29" t="s">
        <v>1773</v>
      </c>
      <c r="D4" s="162"/>
    </row>
    <row r="5" spans="1:4" ht="30" x14ac:dyDescent="0.25">
      <c r="A5" s="163" t="s">
        <v>1774</v>
      </c>
      <c r="B5" s="30">
        <v>1</v>
      </c>
      <c r="C5" s="31" t="s">
        <v>1775</v>
      </c>
      <c r="D5" s="166" t="s">
        <v>1776</v>
      </c>
    </row>
    <row r="6" spans="1:4" ht="60" x14ac:dyDescent="0.25">
      <c r="A6" s="164"/>
      <c r="B6" s="32">
        <v>2</v>
      </c>
      <c r="C6" s="33" t="s">
        <v>1777</v>
      </c>
      <c r="D6" s="167"/>
    </row>
    <row r="7" spans="1:4" ht="15.75" thickBot="1" x14ac:dyDescent="0.3">
      <c r="A7" s="165"/>
      <c r="B7" s="34">
        <v>3</v>
      </c>
      <c r="C7" s="35" t="s">
        <v>1778</v>
      </c>
      <c r="D7" s="168"/>
    </row>
    <row r="8" spans="1:4" ht="30" x14ac:dyDescent="0.25">
      <c r="A8" s="169" t="s">
        <v>1744</v>
      </c>
      <c r="B8" s="36">
        <v>1</v>
      </c>
      <c r="C8" s="37" t="s">
        <v>1779</v>
      </c>
      <c r="D8" s="172" t="s">
        <v>1780</v>
      </c>
    </row>
    <row r="9" spans="1:4" ht="30" x14ac:dyDescent="0.25">
      <c r="A9" s="170"/>
      <c r="B9" s="38">
        <v>2</v>
      </c>
      <c r="C9" s="39" t="s">
        <v>1781</v>
      </c>
      <c r="D9" s="173"/>
    </row>
    <row r="10" spans="1:4" ht="30.75" thickBot="1" x14ac:dyDescent="0.3">
      <c r="A10" s="171"/>
      <c r="B10" s="40">
        <v>3</v>
      </c>
      <c r="C10" s="41" t="s">
        <v>1782</v>
      </c>
      <c r="D10" s="174"/>
    </row>
    <row r="11" spans="1:4" ht="45" x14ac:dyDescent="0.25">
      <c r="A11" s="145" t="s">
        <v>1783</v>
      </c>
      <c r="B11" s="42">
        <v>1</v>
      </c>
      <c r="C11" s="43" t="s">
        <v>1784</v>
      </c>
      <c r="D11" s="148" t="s">
        <v>1785</v>
      </c>
    </row>
    <row r="12" spans="1:4" ht="45" x14ac:dyDescent="0.25">
      <c r="A12" s="146"/>
      <c r="B12" s="44">
        <v>2</v>
      </c>
      <c r="C12" s="45" t="s">
        <v>1786</v>
      </c>
      <c r="D12" s="149"/>
    </row>
    <row r="13" spans="1:4" ht="75" x14ac:dyDescent="0.25">
      <c r="A13" s="146"/>
      <c r="B13" s="44">
        <v>3</v>
      </c>
      <c r="C13" s="45" t="s">
        <v>1787</v>
      </c>
      <c r="D13" s="149"/>
    </row>
    <row r="14" spans="1:4" ht="75.75" thickBot="1" x14ac:dyDescent="0.3">
      <c r="A14" s="147"/>
      <c r="B14" s="46">
        <v>4</v>
      </c>
      <c r="C14" s="47" t="s">
        <v>1788</v>
      </c>
      <c r="D14" s="150"/>
    </row>
    <row r="15" spans="1:4" ht="45" x14ac:dyDescent="0.25">
      <c r="A15" s="151" t="s">
        <v>1789</v>
      </c>
      <c r="B15" s="48">
        <v>1</v>
      </c>
      <c r="C15" s="49" t="s">
        <v>1790</v>
      </c>
      <c r="D15" s="154" t="s">
        <v>1791</v>
      </c>
    </row>
    <row r="16" spans="1:4" ht="105" x14ac:dyDescent="0.25">
      <c r="A16" s="152"/>
      <c r="B16" s="50">
        <v>2</v>
      </c>
      <c r="C16" s="51" t="s">
        <v>1792</v>
      </c>
      <c r="D16" s="155"/>
    </row>
    <row r="17" spans="1:4" ht="75" x14ac:dyDescent="0.25">
      <c r="A17" s="152"/>
      <c r="B17" s="50">
        <v>3</v>
      </c>
      <c r="C17" s="51" t="s">
        <v>1793</v>
      </c>
      <c r="D17" s="155"/>
    </row>
    <row r="18" spans="1:4" ht="60.75" thickBot="1" x14ac:dyDescent="0.3">
      <c r="A18" s="153"/>
      <c r="B18" s="52">
        <v>4</v>
      </c>
      <c r="C18" s="53" t="s">
        <v>1794</v>
      </c>
      <c r="D18" s="156"/>
    </row>
  </sheetData>
  <mergeCells count="11">
    <mergeCell ref="A11:A14"/>
    <mergeCell ref="D11:D14"/>
    <mergeCell ref="A15:A18"/>
    <mergeCell ref="D15:D18"/>
    <mergeCell ref="B1:C1"/>
    <mergeCell ref="A2:A4"/>
    <mergeCell ref="D2:D4"/>
    <mergeCell ref="A5:A7"/>
    <mergeCell ref="D5:D7"/>
    <mergeCell ref="A8:A10"/>
    <mergeCell ref="D8:D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F1A71-7E04-4E62-A11F-7D7429C71CA2}">
  <sheetPr codeName="Sheet8">
    <tabColor theme="4" tint="0.39997558519241921"/>
  </sheetPr>
  <dimension ref="A1:D9"/>
  <sheetViews>
    <sheetView workbookViewId="0">
      <selection activeCell="B11" sqref="B11"/>
    </sheetView>
  </sheetViews>
  <sheetFormatPr defaultColWidth="9.140625" defaultRowHeight="15" x14ac:dyDescent="0.25"/>
  <cols>
    <col min="1" max="1" width="9.140625" style="17"/>
    <col min="2" max="2" width="37.7109375" style="17" bestFit="1" customWidth="1"/>
    <col min="3" max="3" width="9.140625" style="17"/>
    <col min="4" max="4" width="74.7109375" style="17" customWidth="1"/>
    <col min="5" max="16384" width="9.140625" style="17"/>
  </cols>
  <sheetData>
    <row r="1" spans="1:4" x14ac:dyDescent="0.25">
      <c r="A1" s="175" t="s">
        <v>1741</v>
      </c>
      <c r="B1" s="175"/>
      <c r="C1" s="56" t="s">
        <v>1795</v>
      </c>
      <c r="D1" s="57"/>
    </row>
    <row r="2" spans="1:4" ht="30" x14ac:dyDescent="0.25">
      <c r="A2" s="58">
        <v>1</v>
      </c>
      <c r="B2" s="59" t="s">
        <v>1796</v>
      </c>
      <c r="C2" s="60" t="s">
        <v>845</v>
      </c>
      <c r="D2" s="61" t="s">
        <v>1797</v>
      </c>
    </row>
    <row r="3" spans="1:4" ht="30" x14ac:dyDescent="0.25">
      <c r="A3" s="58">
        <v>2</v>
      </c>
      <c r="B3" s="59" t="s">
        <v>1798</v>
      </c>
      <c r="C3" s="60">
        <v>14</v>
      </c>
      <c r="D3" s="61" t="s">
        <v>1799</v>
      </c>
    </row>
    <row r="4" spans="1:4" ht="75" x14ac:dyDescent="0.25">
      <c r="A4" s="58">
        <v>3</v>
      </c>
      <c r="B4" s="176" t="s">
        <v>1800</v>
      </c>
      <c r="C4" s="60">
        <v>16</v>
      </c>
      <c r="D4" s="61" t="s">
        <v>1801</v>
      </c>
    </row>
    <row r="5" spans="1:4" ht="30" x14ac:dyDescent="0.25">
      <c r="A5" s="58">
        <v>4</v>
      </c>
      <c r="B5" s="176"/>
      <c r="C5" s="60">
        <v>15</v>
      </c>
      <c r="D5" s="61" t="s">
        <v>1802</v>
      </c>
    </row>
    <row r="6" spans="1:4" ht="60" x14ac:dyDescent="0.25">
      <c r="A6" s="58">
        <v>5</v>
      </c>
      <c r="B6" s="59" t="s">
        <v>1803</v>
      </c>
      <c r="C6" s="60">
        <v>13</v>
      </c>
      <c r="D6" s="61" t="s">
        <v>1804</v>
      </c>
    </row>
    <row r="7" spans="1:4" ht="30" x14ac:dyDescent="0.25">
      <c r="A7" s="58">
        <v>6</v>
      </c>
      <c r="B7" s="59" t="s">
        <v>1805</v>
      </c>
      <c r="C7" s="60">
        <v>18</v>
      </c>
      <c r="D7" s="61" t="s">
        <v>1806</v>
      </c>
    </row>
    <row r="8" spans="1:4" ht="30" x14ac:dyDescent="0.25">
      <c r="A8" s="177">
        <v>7</v>
      </c>
      <c r="B8" s="179" t="s">
        <v>1807</v>
      </c>
      <c r="C8" s="60">
        <v>14</v>
      </c>
      <c r="D8" s="61" t="s">
        <v>1799</v>
      </c>
    </row>
    <row r="9" spans="1:4" ht="30" x14ac:dyDescent="0.25">
      <c r="A9" s="178"/>
      <c r="B9" s="180"/>
      <c r="C9" s="60">
        <v>17</v>
      </c>
      <c r="D9" s="61" t="s">
        <v>1808</v>
      </c>
    </row>
  </sheetData>
  <mergeCells count="4">
    <mergeCell ref="A1:B1"/>
    <mergeCell ref="B4:B5"/>
    <mergeCell ref="A8:A9"/>
    <mergeCell ref="B8:B9"/>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4F292-2E84-45BD-A45B-B8F89F1A93F5}">
  <sheetPr codeName="Sheet9">
    <tabColor theme="4" tint="0.39997558519241921"/>
  </sheetPr>
  <dimension ref="A1:C43"/>
  <sheetViews>
    <sheetView topLeftCell="A28" workbookViewId="0">
      <selection activeCell="C44" sqref="C44"/>
    </sheetView>
  </sheetViews>
  <sheetFormatPr defaultColWidth="9.140625" defaultRowHeight="15" x14ac:dyDescent="0.25"/>
  <cols>
    <col min="1" max="1" width="19.140625" style="54" bestFit="1" customWidth="1"/>
    <col min="2" max="2" width="7.5703125" style="103" customWidth="1"/>
    <col min="3" max="3" width="121.42578125" style="103" customWidth="1"/>
    <col min="4" max="16384" width="9.140625" style="17"/>
  </cols>
  <sheetData>
    <row r="1" spans="1:3" x14ac:dyDescent="0.25">
      <c r="A1" s="62" t="s">
        <v>1809</v>
      </c>
      <c r="B1" s="187" t="s">
        <v>1410</v>
      </c>
      <c r="C1" s="188"/>
    </row>
    <row r="2" spans="1:3" ht="45" x14ac:dyDescent="0.25">
      <c r="A2" s="159" t="s">
        <v>1810</v>
      </c>
      <c r="B2" s="63">
        <v>1</v>
      </c>
      <c r="C2" s="64" t="s">
        <v>1811</v>
      </c>
    </row>
    <row r="3" spans="1:3" ht="30" x14ac:dyDescent="0.25">
      <c r="A3" s="159"/>
      <c r="B3" s="63">
        <v>2</v>
      </c>
      <c r="C3" s="64" t="s">
        <v>1812</v>
      </c>
    </row>
    <row r="4" spans="1:3" ht="60" x14ac:dyDescent="0.25">
      <c r="A4" s="159"/>
      <c r="B4" s="63">
        <v>3</v>
      </c>
      <c r="C4" s="64" t="s">
        <v>1813</v>
      </c>
    </row>
    <row r="5" spans="1:3" ht="60" x14ac:dyDescent="0.25">
      <c r="A5" s="159"/>
      <c r="B5" s="63">
        <v>4</v>
      </c>
      <c r="C5" s="64" t="s">
        <v>1814</v>
      </c>
    </row>
    <row r="6" spans="1:3" ht="45" x14ac:dyDescent="0.25">
      <c r="A6" s="159"/>
      <c r="B6" s="63">
        <v>5</v>
      </c>
      <c r="C6" s="64" t="s">
        <v>1815</v>
      </c>
    </row>
    <row r="7" spans="1:3" ht="45" x14ac:dyDescent="0.25">
      <c r="A7" s="159"/>
      <c r="B7" s="63">
        <v>6</v>
      </c>
      <c r="C7" s="64" t="s">
        <v>1816</v>
      </c>
    </row>
    <row r="8" spans="1:3" ht="45.75" thickBot="1" x14ac:dyDescent="0.3">
      <c r="A8" s="160"/>
      <c r="B8" s="65">
        <v>7</v>
      </c>
      <c r="C8" s="66" t="s">
        <v>1817</v>
      </c>
    </row>
    <row r="9" spans="1:3" ht="45" x14ac:dyDescent="0.25">
      <c r="A9" s="163" t="s">
        <v>1818</v>
      </c>
      <c r="B9" s="67">
        <v>8</v>
      </c>
      <c r="C9" s="68" t="s">
        <v>1819</v>
      </c>
    </row>
    <row r="10" spans="1:3" ht="30" x14ac:dyDescent="0.25">
      <c r="A10" s="164"/>
      <c r="B10" s="69">
        <v>9</v>
      </c>
      <c r="C10" s="70" t="s">
        <v>1820</v>
      </c>
    </row>
    <row r="11" spans="1:3" ht="30" x14ac:dyDescent="0.25">
      <c r="A11" s="164"/>
      <c r="B11" s="69">
        <v>10</v>
      </c>
      <c r="C11" s="70" t="s">
        <v>1821</v>
      </c>
    </row>
    <row r="12" spans="1:3" ht="30" x14ac:dyDescent="0.25">
      <c r="A12" s="164"/>
      <c r="B12" s="69">
        <v>11</v>
      </c>
      <c r="C12" s="70" t="s">
        <v>1822</v>
      </c>
    </row>
    <row r="13" spans="1:3" ht="30.75" thickBot="1" x14ac:dyDescent="0.3">
      <c r="A13" s="165"/>
      <c r="B13" s="71">
        <v>12</v>
      </c>
      <c r="C13" s="72" t="s">
        <v>1823</v>
      </c>
    </row>
    <row r="14" spans="1:3" ht="30" x14ac:dyDescent="0.25">
      <c r="A14" s="169" t="s">
        <v>1824</v>
      </c>
      <c r="B14" s="73">
        <v>13</v>
      </c>
      <c r="C14" s="74" t="s">
        <v>1825</v>
      </c>
    </row>
    <row r="15" spans="1:3" ht="30" x14ac:dyDescent="0.25">
      <c r="A15" s="170"/>
      <c r="B15" s="75">
        <v>14</v>
      </c>
      <c r="C15" s="76" t="s">
        <v>1826</v>
      </c>
    </row>
    <row r="16" spans="1:3" ht="30" x14ac:dyDescent="0.25">
      <c r="A16" s="170"/>
      <c r="B16" s="75">
        <v>15</v>
      </c>
      <c r="C16" s="76" t="s">
        <v>1827</v>
      </c>
    </row>
    <row r="17" spans="1:3" ht="30" x14ac:dyDescent="0.25">
      <c r="A17" s="170"/>
      <c r="B17" s="75">
        <v>16</v>
      </c>
      <c r="C17" s="76" t="s">
        <v>1828</v>
      </c>
    </row>
    <row r="18" spans="1:3" ht="30" x14ac:dyDescent="0.25">
      <c r="A18" s="170"/>
      <c r="B18" s="75">
        <v>17</v>
      </c>
      <c r="C18" s="76" t="s">
        <v>1829</v>
      </c>
    </row>
    <row r="19" spans="1:3" ht="45" x14ac:dyDescent="0.25">
      <c r="A19" s="170"/>
      <c r="B19" s="75">
        <v>18</v>
      </c>
      <c r="C19" s="76" t="s">
        <v>1830</v>
      </c>
    </row>
    <row r="20" spans="1:3" ht="30.75" thickBot="1" x14ac:dyDescent="0.3">
      <c r="A20" s="171"/>
      <c r="B20" s="77">
        <v>19</v>
      </c>
      <c r="C20" s="78" t="s">
        <v>1831</v>
      </c>
    </row>
    <row r="21" spans="1:3" ht="30" x14ac:dyDescent="0.25">
      <c r="A21" s="189" t="s">
        <v>1832</v>
      </c>
      <c r="B21" s="79">
        <v>20</v>
      </c>
      <c r="C21" s="80" t="s">
        <v>1833</v>
      </c>
    </row>
    <row r="22" spans="1:3" ht="30" x14ac:dyDescent="0.25">
      <c r="A22" s="190"/>
      <c r="B22" s="81">
        <v>21</v>
      </c>
      <c r="C22" s="82" t="s">
        <v>1834</v>
      </c>
    </row>
    <row r="23" spans="1:3" x14ac:dyDescent="0.25">
      <c r="A23" s="190"/>
      <c r="B23" s="81">
        <v>22</v>
      </c>
      <c r="C23" s="82" t="s">
        <v>1835</v>
      </c>
    </row>
    <row r="24" spans="1:3" ht="30" x14ac:dyDescent="0.25">
      <c r="A24" s="190"/>
      <c r="B24" s="81">
        <v>23</v>
      </c>
      <c r="C24" s="82" t="s">
        <v>1836</v>
      </c>
    </row>
    <row r="25" spans="1:3" ht="30" x14ac:dyDescent="0.25">
      <c r="A25" s="190"/>
      <c r="B25" s="81">
        <v>24</v>
      </c>
      <c r="C25" s="82" t="s">
        <v>1837</v>
      </c>
    </row>
    <row r="26" spans="1:3" x14ac:dyDescent="0.25">
      <c r="A26" s="190"/>
      <c r="B26" s="81">
        <v>25</v>
      </c>
      <c r="C26" s="82" t="s">
        <v>1838</v>
      </c>
    </row>
    <row r="27" spans="1:3" ht="30.75" thickBot="1" x14ac:dyDescent="0.3">
      <c r="A27" s="191"/>
      <c r="B27" s="83">
        <v>26</v>
      </c>
      <c r="C27" s="84" t="s">
        <v>1839</v>
      </c>
    </row>
    <row r="28" spans="1:3" ht="30" x14ac:dyDescent="0.25">
      <c r="A28" s="192" t="s">
        <v>1840</v>
      </c>
      <c r="B28" s="85">
        <v>27</v>
      </c>
      <c r="C28" s="86" t="s">
        <v>1841</v>
      </c>
    </row>
    <row r="29" spans="1:3" ht="30" x14ac:dyDescent="0.25">
      <c r="A29" s="193"/>
      <c r="B29" s="87">
        <v>28</v>
      </c>
      <c r="C29" s="88" t="s">
        <v>1842</v>
      </c>
    </row>
    <row r="30" spans="1:3" ht="30" x14ac:dyDescent="0.25">
      <c r="A30" s="193"/>
      <c r="B30" s="87">
        <v>29</v>
      </c>
      <c r="C30" s="88" t="s">
        <v>1843</v>
      </c>
    </row>
    <row r="31" spans="1:3" ht="30" x14ac:dyDescent="0.25">
      <c r="A31" s="193"/>
      <c r="B31" s="87">
        <v>30</v>
      </c>
      <c r="C31" s="88" t="s">
        <v>1844</v>
      </c>
    </row>
    <row r="32" spans="1:3" ht="30.75" thickBot="1" x14ac:dyDescent="0.3">
      <c r="A32" s="194"/>
      <c r="B32" s="89">
        <v>31</v>
      </c>
      <c r="C32" s="90" t="s">
        <v>1845</v>
      </c>
    </row>
    <row r="33" spans="1:3" ht="30" x14ac:dyDescent="0.25">
      <c r="A33" s="181" t="s">
        <v>1846</v>
      </c>
      <c r="B33" s="91">
        <v>32</v>
      </c>
      <c r="C33" s="92" t="s">
        <v>1847</v>
      </c>
    </row>
    <row r="34" spans="1:3" ht="30" x14ac:dyDescent="0.25">
      <c r="A34" s="182"/>
      <c r="B34" s="93">
        <v>33</v>
      </c>
      <c r="C34" s="94" t="s">
        <v>1848</v>
      </c>
    </row>
    <row r="35" spans="1:3" ht="30" x14ac:dyDescent="0.25">
      <c r="A35" s="182"/>
      <c r="B35" s="93">
        <v>34</v>
      </c>
      <c r="C35" s="94" t="s">
        <v>1849</v>
      </c>
    </row>
    <row r="36" spans="1:3" ht="30" x14ac:dyDescent="0.25">
      <c r="A36" s="182"/>
      <c r="B36" s="93">
        <v>35</v>
      </c>
      <c r="C36" s="94" t="s">
        <v>1850</v>
      </c>
    </row>
    <row r="37" spans="1:3" ht="30" x14ac:dyDescent="0.25">
      <c r="A37" s="182"/>
      <c r="B37" s="93">
        <v>36</v>
      </c>
      <c r="C37" s="94" t="s">
        <v>1851</v>
      </c>
    </row>
    <row r="38" spans="1:3" ht="30.75" thickBot="1" x14ac:dyDescent="0.3">
      <c r="A38" s="183"/>
      <c r="B38" s="95">
        <v>37</v>
      </c>
      <c r="C38" s="96" t="s">
        <v>1852</v>
      </c>
    </row>
    <row r="39" spans="1:3" x14ac:dyDescent="0.25">
      <c r="A39" s="184" t="s">
        <v>1853</v>
      </c>
      <c r="B39" s="97">
        <v>38</v>
      </c>
      <c r="C39" s="98" t="s">
        <v>1854</v>
      </c>
    </row>
    <row r="40" spans="1:3" x14ac:dyDescent="0.25">
      <c r="A40" s="185"/>
      <c r="B40" s="99">
        <v>39</v>
      </c>
      <c r="C40" s="100" t="s">
        <v>1855</v>
      </c>
    </row>
    <row r="41" spans="1:3" x14ac:dyDescent="0.25">
      <c r="A41" s="185"/>
      <c r="B41" s="99">
        <v>40</v>
      </c>
      <c r="C41" s="100" t="s">
        <v>1856</v>
      </c>
    </row>
    <row r="42" spans="1:3" x14ac:dyDescent="0.25">
      <c r="A42" s="185"/>
      <c r="B42" s="99">
        <v>41</v>
      </c>
      <c r="C42" s="100" t="s">
        <v>1857</v>
      </c>
    </row>
    <row r="43" spans="1:3" ht="15.75" thickBot="1" x14ac:dyDescent="0.3">
      <c r="A43" s="186"/>
      <c r="B43" s="101">
        <v>42</v>
      </c>
      <c r="C43" s="102" t="s">
        <v>1858</v>
      </c>
    </row>
  </sheetData>
  <mergeCells count="8">
    <mergeCell ref="A33:A38"/>
    <mergeCell ref="A39:A43"/>
    <mergeCell ref="B1:C1"/>
    <mergeCell ref="A2:A8"/>
    <mergeCell ref="A9:A13"/>
    <mergeCell ref="A14:A20"/>
    <mergeCell ref="A21:A27"/>
    <mergeCell ref="A28:A3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157FF-F6B4-4836-AC88-D307D5CC7C22}">
  <sheetPr codeName="Sheet10">
    <tabColor theme="4" tint="0.39997558519241921"/>
  </sheetPr>
  <dimension ref="A1:C12"/>
  <sheetViews>
    <sheetView workbookViewId="0">
      <selection activeCell="B21" sqref="B21"/>
    </sheetView>
  </sheetViews>
  <sheetFormatPr defaultColWidth="9.140625" defaultRowHeight="15" x14ac:dyDescent="0.25"/>
  <cols>
    <col min="1" max="1" width="30.42578125" style="17" bestFit="1" customWidth="1"/>
    <col min="2" max="2" width="39.140625" style="17" bestFit="1" customWidth="1"/>
    <col min="3" max="3" width="73.140625" style="17" customWidth="1"/>
    <col min="4" max="16384" width="9.140625" style="17"/>
  </cols>
  <sheetData>
    <row r="1" spans="1:3" ht="15.75" x14ac:dyDescent="0.25">
      <c r="A1" s="109" t="s">
        <v>1859</v>
      </c>
      <c r="B1" s="109"/>
      <c r="C1" s="110"/>
    </row>
    <row r="2" spans="1:3" x14ac:dyDescent="0.25">
      <c r="C2" s="110"/>
    </row>
    <row r="3" spans="1:3" ht="15.75" x14ac:dyDescent="0.25">
      <c r="A3" s="195" t="s">
        <v>1860</v>
      </c>
      <c r="B3" s="195"/>
      <c r="C3" s="104" t="s">
        <v>1743</v>
      </c>
    </row>
    <row r="4" spans="1:3" ht="30" x14ac:dyDescent="0.25">
      <c r="A4" s="60">
        <v>1</v>
      </c>
      <c r="B4" s="105" t="s">
        <v>1861</v>
      </c>
      <c r="C4" s="61" t="s">
        <v>1862</v>
      </c>
    </row>
    <row r="5" spans="1:3" ht="45" x14ac:dyDescent="0.25">
      <c r="A5" s="60">
        <v>2</v>
      </c>
      <c r="B5" s="105" t="s">
        <v>1863</v>
      </c>
      <c r="C5" s="61" t="s">
        <v>1864</v>
      </c>
    </row>
    <row r="6" spans="1:3" ht="45" x14ac:dyDescent="0.25">
      <c r="A6" s="60">
        <v>3</v>
      </c>
      <c r="B6" s="105" t="s">
        <v>1865</v>
      </c>
      <c r="C6" s="61" t="s">
        <v>1866</v>
      </c>
    </row>
    <row r="7" spans="1:3" ht="60" x14ac:dyDescent="0.25">
      <c r="A7" s="60">
        <v>4</v>
      </c>
      <c r="B7" s="105" t="s">
        <v>1867</v>
      </c>
      <c r="C7" s="61" t="s">
        <v>1868</v>
      </c>
    </row>
    <row r="8" spans="1:3" ht="45" x14ac:dyDescent="0.25">
      <c r="A8" s="60">
        <v>5</v>
      </c>
      <c r="B8" s="105" t="s">
        <v>1869</v>
      </c>
      <c r="C8" s="61" t="s">
        <v>1870</v>
      </c>
    </row>
    <row r="9" spans="1:3" ht="45" x14ac:dyDescent="0.25">
      <c r="A9" s="60">
        <v>6</v>
      </c>
      <c r="B9" s="105" t="s">
        <v>1871</v>
      </c>
      <c r="C9" s="61" t="s">
        <v>1872</v>
      </c>
    </row>
    <row r="10" spans="1:3" ht="15.75" thickBot="1" x14ac:dyDescent="0.3">
      <c r="C10" s="110"/>
    </row>
    <row r="11" spans="1:3" x14ac:dyDescent="0.25">
      <c r="A11" s="106" t="s">
        <v>1873</v>
      </c>
      <c r="B11" s="107"/>
      <c r="C11" s="108"/>
    </row>
    <row r="12" spans="1:3" ht="15.75" thickBot="1" x14ac:dyDescent="0.3">
      <c r="A12" s="196" t="s">
        <v>1874</v>
      </c>
      <c r="B12" s="197"/>
      <c r="C12" s="198"/>
    </row>
  </sheetData>
  <mergeCells count="2">
    <mergeCell ref="A3:B3"/>
    <mergeCell ref="A12:C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C2B3BD144147D4BA7D1B42BBCE7E8E0" ma:contentTypeVersion="4" ma:contentTypeDescription="Create a new document." ma:contentTypeScope="" ma:versionID="d76b4ab4ab6faceaa4ef570f2359925a">
  <xsd:schema xmlns:xsd="http://www.w3.org/2001/XMLSchema" xmlns:xs="http://www.w3.org/2001/XMLSchema" xmlns:p="http://schemas.microsoft.com/office/2006/metadata/properties" xmlns:ns2="47199a9a-61b2-4c7a-9374-2664a2a3b484" targetNamespace="http://schemas.microsoft.com/office/2006/metadata/properties" ma:root="true" ma:fieldsID="c922996372f69f110ee1b45223ed8905" ns2:_="">
    <xsd:import namespace="47199a9a-61b2-4c7a-9374-2664a2a3b48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199a9a-61b2-4c7a-9374-2664a2a3b4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2DECAD4-3D39-4C1E-92E1-09F68C27C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199a9a-61b2-4c7a-9374-2664a2a3b48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5B9BDF1-4DF1-49D9-B832-13D587301AD2}">
  <ds:schemaRefs>
    <ds:schemaRef ds:uri="http://schemas.microsoft.com/sharepoint/v3/contenttype/forms"/>
  </ds:schemaRefs>
</ds:datastoreItem>
</file>

<file path=customXml/itemProps3.xml><?xml version="1.0" encoding="utf-8"?>
<ds:datastoreItem xmlns:ds="http://schemas.openxmlformats.org/officeDocument/2006/customXml" ds:itemID="{E6C7897C-F86C-46B1-BB9D-C6DF305E9241}">
  <ds:schemaRefs>
    <ds:schemaRef ds:uri="http://schemas.microsoft.com/office/2006/documentManagement/types"/>
    <ds:schemaRef ds:uri="http://purl.org/dc/elements/1.1/"/>
    <ds:schemaRef ds:uri="http://www.w3.org/XML/1998/namespace"/>
    <ds:schemaRef ds:uri="http://purl.org/dc/terms/"/>
    <ds:schemaRef ds:uri="http://purl.org/dc/dcmitype/"/>
    <ds:schemaRef ds:uri="47199a9a-61b2-4c7a-9374-2664a2a3b484"/>
    <ds:schemaRef ds:uri="http://schemas.microsoft.com/office/2006/metadata/properti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Work Tracker</vt:lpstr>
      <vt:lpstr>Yearly Calendar</vt:lpstr>
      <vt:lpstr>Reference Data</vt:lpstr>
      <vt:lpstr>Completed</vt:lpstr>
      <vt:lpstr>Removed</vt:lpstr>
      <vt:lpstr>Professional Services Together</vt:lpstr>
      <vt:lpstr>University Priorities</vt:lpstr>
      <vt:lpstr>People Priorities</vt:lpstr>
      <vt:lpstr>IT Strategic Priorities</vt:lpstr>
      <vt:lpstr>IT Principles</vt:lpstr>
      <vt:lpstr>bus_priority</vt:lpstr>
      <vt:lpstr>CATEGORY</vt:lpstr>
      <vt:lpstr>DEADLINE_TYPE</vt:lpstr>
      <vt:lpstr>EFFORT</vt:lpstr>
      <vt:lpstr>mandate</vt:lpstr>
      <vt:lpstr>P_MANDATE</vt:lpstr>
      <vt:lpstr>PRIORITY</vt:lpstr>
      <vt:lpstr>STATEGIC_PRIORITY</vt:lpstr>
      <vt:lpstr>STATUS</vt:lpstr>
      <vt:lpstr>STATUS_DETAIL</vt:lpstr>
      <vt:lpstr>TYPE</vt:lpstr>
      <vt:lpstr>YESNO</vt:lpstr>
    </vt:vector>
  </TitlesOfParts>
  <Manager/>
  <Company>University of Oxford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Burford</dc:creator>
  <cp:keywords/>
  <dc:description/>
  <cp:lastModifiedBy>Simon Burford</cp:lastModifiedBy>
  <cp:revision/>
  <dcterms:created xsi:type="dcterms:W3CDTF">2024-09-12T15:45:55Z</dcterms:created>
  <dcterms:modified xsi:type="dcterms:W3CDTF">2026-03-27T17:27:17Z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0x010100CC2B3BD144147D4BA7D1B42BBCE7E8E0</vt:lpwstr>
  </property>
  <property fmtid="{D5CDD505-2E9C-101B-9397-08002B2CF9AE}" pid="3" name="xd_ProgID">
    <vt:lpwstr/>
  </property>
  <property fmtid="{D5CDD505-2E9C-101B-9397-08002B2CF9AE}" pid="4" name="ComplianceAssetId">
    <vt:lpwstr/>
  </property>
  <property fmtid="{D5CDD505-2E9C-101B-9397-08002B2CF9AE}" pid="5" name="TemplateUrl">
    <vt:lpwstr/>
  </property>
  <property fmtid="{D5CDD505-2E9C-101B-9397-08002B2CF9AE}" pid="6" name="_ExtendedDescription">
    <vt:lpwstr/>
  </property>
  <property fmtid="{D5CDD505-2E9C-101B-9397-08002B2CF9AE}" pid="7" name="TriggerFlowInfo">
    <vt:lpwstr/>
  </property>
  <property fmtid="{D5CDD505-2E9C-101B-9397-08002B2CF9AE}" pid="8" name="xd_Signature">
    <vt:bool>false</vt:bool>
  </property>
</Properties>
</file>